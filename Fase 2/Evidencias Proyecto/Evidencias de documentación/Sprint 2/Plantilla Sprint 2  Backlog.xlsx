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Gráfico" sheetId="3" r:id="rId6"/>
  </sheets>
  <definedNames/>
  <calcPr/>
  <extLst>
    <ext uri="GoogleSheetsCustomDataVersion2">
      <go:sheetsCustomData xmlns:go="http://customooxmlschemas.google.com/" r:id="rId7" roundtripDataChecksum="3A1ehQqF/1LKCr4LJnks1t34UPEvMB6xyOFcEy0IXVM="/>
    </ext>
  </extLst>
</workbook>
</file>

<file path=xl/sharedStrings.xml><?xml version="1.0" encoding="utf-8"?>
<sst xmlns="http://schemas.openxmlformats.org/spreadsheetml/2006/main" count="189" uniqueCount="101">
  <si>
    <t>Metodologías ágiles: Lista de tareas de la iteración</t>
  </si>
  <si>
    <t>(Sprint 3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</si>
  <si>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</si>
  <si>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</si>
  <si>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</si>
  <si>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</si>
  <si>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</si>
  <si>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</si>
  <si>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</si>
  <si>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</si>
  <si>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</si>
  <si>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</si>
  <si>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</si>
  <si>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</si>
  <si>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</si>
  <si>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</si>
  <si>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</si>
  <si>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</si>
  <si>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</si>
  <si>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</si>
  <si>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</si>
  <si>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</si>
  <si>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</si>
  <si>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</si>
  <si>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</si>
  <si>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</si>
  <si>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</si>
  <si>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</si>
  <si>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</si>
  <si>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</si>
  <si>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</si>
  <si>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</si>
  <si>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HU-13</t>
  </si>
  <si>
    <t>Ver vehículos del perfil</t>
  </si>
  <si>
    <t>Endpoint GET /vehicles</t>
  </si>
  <si>
    <t>Dev BE</t>
  </si>
  <si>
    <t>Pendiente</t>
  </si>
  <si>
    <t>Pantalla listado vehículos</t>
  </si>
  <si>
    <t>Dev FE</t>
  </si>
  <si>
    <t>HU-14</t>
  </si>
  <si>
    <t>Agregar vehículo</t>
  </si>
  <si>
    <t>Formulario agregar vehículo</t>
  </si>
  <si>
    <t>UX/UI</t>
  </si>
  <si>
    <t>Endpoint POST /vehicles</t>
  </si>
  <si>
    <t>HU-15</t>
  </si>
  <si>
    <t>Editar vehículo</t>
  </si>
  <si>
    <t>Modal editar vehículo</t>
  </si>
  <si>
    <t>Opción predeterminado</t>
  </si>
  <si>
    <t>HU-16</t>
  </si>
  <si>
    <t>Eliminar vehículo</t>
  </si>
  <si>
    <t>Modal eliminar vehículo</t>
  </si>
  <si>
    <t>Endpoint DELETE /vehicles/{id}</t>
  </si>
  <si>
    <t>HU-28</t>
  </si>
  <si>
    <t>Ver mis reservas</t>
  </si>
  <si>
    <t>Listado reservas UI</t>
  </si>
  <si>
    <t>Endpoint GET /reservations</t>
  </si>
  <si>
    <t>HU-29</t>
  </si>
  <si>
    <t>Detalle de reserva</t>
  </si>
  <si>
    <t>Pantalla detalle reserva</t>
  </si>
  <si>
    <t>Endpoint GET /reservations/{id}</t>
  </si>
  <si>
    <t>HU-30</t>
  </si>
  <si>
    <t>Detalle de cancelación</t>
  </si>
  <si>
    <t>Pantalla cancelación reserva</t>
  </si>
  <si>
    <t>HU-31</t>
  </si>
  <si>
    <t>Cancelar reserva</t>
  </si>
  <si>
    <t>Modal confirmar cancelación</t>
  </si>
  <si>
    <t>Endpoint POST /reservations/{id}/cancel</t>
  </si>
  <si>
    <t>HU-38</t>
  </si>
  <si>
    <t>Configurar reserva (fecha/hora)</t>
  </si>
  <si>
    <t>Diseñar formulario reserva</t>
  </si>
  <si>
    <t>Endpoint disponibilidad</t>
  </si>
  <si>
    <t>Validación front disponibilidad</t>
  </si>
  <si>
    <t>HU-39</t>
  </si>
  <si>
    <t>Confirmación previa a pagar</t>
  </si>
  <si>
    <t>Pantalla revisar y continuar</t>
  </si>
  <si>
    <t>HU-40</t>
  </si>
  <si>
    <t>Seleccionar vehículo</t>
  </si>
  <si>
    <t>Listado con radio buttons</t>
  </si>
  <si>
    <t>HU-42</t>
  </si>
  <si>
    <t>Pantalla confirmación exitosa</t>
  </si>
  <si>
    <t>Mensaje reserva exitosa</t>
  </si>
  <si>
    <t>Redirección a “Mis Reservas”</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</si>
  <si>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</si>
  <si>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</si>
  <si>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</si>
  <si>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</si>
  <si>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</si>
  <si>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</si>
  <si>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</si>
  <si>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</si>
  <si>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</si>
  <si>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</si>
  <si>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</si>
  <si>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</si>
  <si>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</si>
  <si>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</si>
  <si>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Día</t>
  </si>
  <si>
    <t>Esfuerzo Ideal</t>
  </si>
  <si>
    <t>Esfuerzo Real</t>
  </si>
  <si>
    <t>2 semanas</t>
  </si>
  <si>
    <t>Descripción: El gráfico Burndown Chart del Sprint 2 muestra el avance del equipo en relación con las horas estimadas de trabajo (92 horas). La línea ideal representa cómo debería disminuir el esfuerzo si el progreso fuera constante, mientras que la línea real refleja el ritmo de trabajo efectivo. A lo largo del sprint, se observa cómo el equipo fue completando tareas y reduciendo el esfuerzo pendiente. Este gráfico permite visualizar el cumplimiento del plan de trabajo y detectar posibles retrasos o mejoras en la productividad del equipo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</si>
</sst>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
      <b/>
      <sz val="11.0"/>
      <color rgb="FFFFFFFF"/>
      <name val="Calibri"/>
    </font>
    <font>
      <sz val="11.0"/>
      <color rgb="FF00000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4F81BD"/>
        <bgColor rgb="FF4F81BD"/>
      </patternFill>
    </fill>
  </fills>
  <borders count="11">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
      <left style="thin">
        <color rgb="FF000000"/>
      </left>
      <right style="thin">
        <color rgb="FF000000"/>
      </right>
      <top style="thin">
        <color rgb="FF000000"/>
      </top>
    </border>
    <border>
      <left style="thin">
        <color rgb="FF073763"/>
      </left>
      <right style="thin">
        <color rgb="FF073763"/>
      </right>
      <top style="thin">
        <color rgb="FF073763"/>
      </top>
      <bottom style="thin">
        <color rgb="FF073763"/>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6" numFmtId="0" xfId="0" applyAlignment="1" applyBorder="1" applyFont="1">
      <alignment readingOrder="0" shrinkToFit="0" wrapText="1"/>
    </xf>
    <xf borderId="5" fillId="0" fontId="6" numFmtId="0" xfId="0" applyAlignment="1" applyBorder="1" applyFont="1">
      <alignment readingOrder="0"/>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0" fontId="6" numFmtId="0" xfId="0" applyAlignment="1" applyBorder="1" applyFont="1">
      <alignment shrinkToFit="0" wrapText="1"/>
    </xf>
    <xf borderId="8" fillId="2" fontId="1" numFmtId="0" xfId="0" applyBorder="1" applyFont="1"/>
    <xf borderId="8" fillId="2" fontId="1" numFmtId="0" xfId="0" applyAlignment="1" applyBorder="1" applyFont="1">
      <alignment readingOrder="0"/>
    </xf>
    <xf borderId="5" fillId="3" fontId="4" numFmtId="0" xfId="0" applyBorder="1" applyFont="1"/>
    <xf borderId="5" fillId="2" fontId="1" numFmtId="0" xfId="0" applyAlignment="1" applyBorder="1" applyFont="1">
      <alignment horizontal="left" shrinkToFit="0" vertical="top" wrapText="1"/>
    </xf>
    <xf borderId="9" fillId="6" fontId="7" numFmtId="0" xfId="0" applyAlignment="1" applyBorder="1" applyFill="1" applyFont="1">
      <alignment horizontal="center" vertical="top"/>
    </xf>
    <xf borderId="10" fillId="0" fontId="8" numFmtId="0" xfId="0" applyAlignment="1" applyBorder="1" applyFont="1">
      <alignment horizontal="right" readingOrder="0" shrinkToFit="0" vertical="bottom" wrapText="0"/>
    </xf>
    <xf borderId="0" fillId="0" fontId="1" numFmtId="0" xfId="0" applyAlignment="1" applyFont="1">
      <alignment horizontal="center" vertical="bottom"/>
    </xf>
    <xf borderId="0" fillId="0" fontId="1" numFmtId="0" xfId="0" applyAlignment="1" applyFont="1">
      <alignment vertical="bottom"/>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Burndown Chart – Sprint 2</a:t>
            </a:r>
          </a:p>
        </c:rich>
      </c:tx>
      <c:overlay val="0"/>
    </c:title>
    <c:plotArea>
      <c:layout/>
      <c:lineChart>
        <c:ser>
          <c:idx val="0"/>
          <c:order val="0"/>
          <c:tx>
            <c:strRef>
              <c:f>'Gráfico'!$C$3</c:f>
            </c:strRef>
          </c:tx>
          <c:spPr>
            <a:ln cmpd="sng">
              <a:solidFill>
                <a:srgbClr val="4F81BD"/>
              </a:solidFill>
            </a:ln>
          </c:spPr>
          <c:marker>
            <c:symbol val="none"/>
          </c:marker>
          <c:cat>
            <c:strRef>
              <c:f>'Gráfico'!$B$4:$B$14</c:f>
            </c:strRef>
          </c:cat>
          <c:val>
            <c:numRef>
              <c:f>'Gráfico'!$C$4:$C$14</c:f>
              <c:numCache/>
            </c:numRef>
          </c:val>
          <c:smooth val="0"/>
        </c:ser>
        <c:ser>
          <c:idx val="1"/>
          <c:order val="1"/>
          <c:tx>
            <c:strRef>
              <c:f>'Gráfico'!$D$3</c:f>
            </c:strRef>
          </c:tx>
          <c:spPr>
            <a:ln cmpd="sng">
              <a:solidFill>
                <a:srgbClr val="C0504D"/>
              </a:solidFill>
            </a:ln>
          </c:spPr>
          <c:marker>
            <c:symbol val="none"/>
          </c:marker>
          <c:cat>
            <c:strRef>
              <c:f>'Gráfico'!$B$4:$B$14</c:f>
            </c:strRef>
          </c:cat>
          <c:val>
            <c:numRef>
              <c:f>'Gráfico'!$D$4:$D$14</c:f>
              <c:numCache/>
            </c:numRef>
          </c:val>
          <c:smooth val="0"/>
        </c:ser>
        <c:axId val="1944398856"/>
        <c:axId val="355232106"/>
      </c:lineChart>
      <c:catAx>
        <c:axId val="1944398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355232106"/>
      </c:catAx>
      <c:valAx>
        <c:axId val="355232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4398856"/>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180975</xdr:rowOff>
    </xdr:from>
    <xdr:ext cx="5715000" cy="3533775"/>
    <xdr:graphicFrame>
      <xdr:nvGraphicFramePr>
        <xdr:cNvPr id="1030900785"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9.86"/>
    <col customWidth="1" min="4" max="4" width="23.14"/>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32</v>
      </c>
      <c r="C6" s="11" t="s">
        <v>33</v>
      </c>
      <c r="D6" s="11" t="s">
        <v>34</v>
      </c>
      <c r="E6" s="11" t="s">
        <v>35</v>
      </c>
      <c r="F6" s="11" t="s">
        <v>36</v>
      </c>
      <c r="G6" s="12">
        <v>5.0</v>
      </c>
      <c r="H6" s="13">
        <v>1.0</v>
      </c>
      <c r="I6" s="13">
        <f t="shared" ref="I6:I27" si="1">G6-H6</f>
        <v>4</v>
      </c>
      <c r="J6" s="14"/>
      <c r="K6" s="13">
        <v>1.0</v>
      </c>
      <c r="L6" s="13">
        <f t="shared" ref="L6:L27" si="2">I6-K6</f>
        <v>3</v>
      </c>
      <c r="M6" s="14"/>
      <c r="N6" s="13">
        <v>1.0</v>
      </c>
      <c r="O6" s="13">
        <f t="shared" ref="O6:O27" si="3">L6-N6</f>
        <v>2</v>
      </c>
      <c r="P6" s="14"/>
      <c r="Q6" s="13">
        <v>1.0</v>
      </c>
      <c r="R6" s="13">
        <f t="shared" ref="R6:R27" si="4">O6-Q6</f>
        <v>1</v>
      </c>
      <c r="S6" s="14"/>
      <c r="T6" s="15">
        <v>1.0</v>
      </c>
      <c r="U6" s="13">
        <f t="shared" ref="U6:U27" si="5">R6-T6</f>
        <v>0</v>
      </c>
      <c r="V6" s="14"/>
      <c r="W6" s="15">
        <v>0.0</v>
      </c>
      <c r="X6" s="13">
        <f t="shared" ref="X6:X27" si="6">U6-W6</f>
        <v>0</v>
      </c>
      <c r="Y6" s="14"/>
      <c r="Z6" s="13"/>
      <c r="AA6" s="13">
        <f t="shared" ref="AA6:AA27" si="7">X6-Z6</f>
        <v>0</v>
      </c>
      <c r="AB6" s="14"/>
      <c r="AC6" s="13"/>
      <c r="AD6" s="13">
        <f t="shared" ref="AD6:AD27" si="8">AA6-AC6</f>
        <v>0</v>
      </c>
      <c r="AE6" s="14"/>
      <c r="AF6" s="13"/>
      <c r="AG6" s="13">
        <f t="shared" ref="AG6:AG27" si="9">AD6-AF6</f>
        <v>0</v>
      </c>
      <c r="AH6" s="14"/>
      <c r="AI6" s="13"/>
      <c r="AJ6" s="13">
        <f t="shared" ref="AJ6:AJ27" si="10">AG6-AI6</f>
        <v>0</v>
      </c>
      <c r="AK6" s="14"/>
      <c r="AL6" s="13"/>
      <c r="AM6" s="13">
        <f t="shared" ref="AM6:AM19" si="11">AJ6-AL6</f>
        <v>0</v>
      </c>
      <c r="AN6" s="14"/>
      <c r="AO6" s="13"/>
      <c r="AP6" s="13">
        <f t="shared" ref="AP6:AP27" si="12">AM6-AO6</f>
        <v>0</v>
      </c>
      <c r="AQ6" s="14"/>
      <c r="AR6" s="13"/>
      <c r="AS6" s="13">
        <f t="shared" ref="AS6:AS27" si="13">AP6-AR6</f>
        <v>0</v>
      </c>
      <c r="AT6" s="14"/>
      <c r="AU6" s="13"/>
      <c r="AV6" s="13">
        <f t="shared" ref="AV6:AV27" si="14">AS6-AU6</f>
        <v>0</v>
      </c>
      <c r="AW6" s="14"/>
      <c r="AX6" s="13"/>
      <c r="AY6" s="13">
        <f t="shared" ref="AY6:AY27" si="15">AV6-AX6</f>
        <v>0</v>
      </c>
      <c r="AZ6" s="14"/>
      <c r="BA6" s="13"/>
      <c r="BB6" s="13">
        <f t="shared" ref="BB6:BB27" si="16">AY6-BA6</f>
        <v>0</v>
      </c>
      <c r="BC6" s="14"/>
      <c r="BD6" s="13"/>
      <c r="BE6" s="13">
        <f t="shared" ref="BE6:BE27" si="17">BB6-BD6</f>
        <v>0</v>
      </c>
      <c r="BF6" s="14"/>
      <c r="BG6" s="13"/>
      <c r="BH6" s="13">
        <f t="shared" ref="BH6:BH27" si="18">BE6-BG6</f>
        <v>0</v>
      </c>
      <c r="BI6" s="14"/>
      <c r="BJ6" s="13"/>
      <c r="BK6" s="13">
        <f t="shared" ref="BK6:BK27" si="19">BH6-BJ6</f>
        <v>0</v>
      </c>
      <c r="BL6" s="14"/>
      <c r="BM6" s="13"/>
      <c r="BN6" s="13">
        <f t="shared" ref="BN6:BN27" si="20">BK6-BM6</f>
        <v>0</v>
      </c>
      <c r="BO6" s="14"/>
      <c r="BP6" s="16">
        <f t="shared" ref="BP6:BP27" si="21">H6+K6+N6+Q6+T6+W6+Z6+AC6+AF6+AI6+AL6+AO6+AR6+AU6+AX6+BA6+BD6+BG6+BJ6+BM6</f>
        <v>5</v>
      </c>
      <c r="BQ6" s="16">
        <f t="shared" ref="BQ6:BQ27" si="22">G6-BP6</f>
        <v>0</v>
      </c>
    </row>
    <row r="7">
      <c r="A7" s="10"/>
      <c r="B7" s="17"/>
      <c r="C7" s="17"/>
      <c r="D7" s="11" t="s">
        <v>37</v>
      </c>
      <c r="E7" s="11" t="s">
        <v>38</v>
      </c>
      <c r="F7" s="11" t="s">
        <v>36</v>
      </c>
      <c r="G7" s="12">
        <v>4.0</v>
      </c>
      <c r="H7" s="13">
        <v>1.0</v>
      </c>
      <c r="I7" s="13">
        <f t="shared" si="1"/>
        <v>3</v>
      </c>
      <c r="J7" s="14"/>
      <c r="K7" s="13">
        <v>1.0</v>
      </c>
      <c r="L7" s="13">
        <f t="shared" si="2"/>
        <v>2</v>
      </c>
      <c r="M7" s="14"/>
      <c r="N7" s="13">
        <v>1.0</v>
      </c>
      <c r="O7" s="13">
        <f t="shared" si="3"/>
        <v>1</v>
      </c>
      <c r="P7" s="14"/>
      <c r="Q7" s="13">
        <v>1.0</v>
      </c>
      <c r="R7" s="13">
        <f t="shared" si="4"/>
        <v>0</v>
      </c>
      <c r="S7" s="14"/>
      <c r="T7" s="15">
        <v>0.0</v>
      </c>
      <c r="U7" s="13">
        <f t="shared" si="5"/>
        <v>0</v>
      </c>
      <c r="V7" s="14"/>
      <c r="W7" s="15">
        <v>0.0</v>
      </c>
      <c r="X7" s="13">
        <f t="shared" si="6"/>
        <v>0</v>
      </c>
      <c r="Y7" s="14"/>
      <c r="Z7" s="15">
        <v>0.0</v>
      </c>
      <c r="AA7" s="13">
        <f t="shared" si="7"/>
        <v>0</v>
      </c>
      <c r="AB7" s="14"/>
      <c r="AC7" s="15">
        <v>0.0</v>
      </c>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6">
        <f t="shared" si="21"/>
        <v>4</v>
      </c>
      <c r="BQ7" s="16">
        <f t="shared" si="22"/>
        <v>0</v>
      </c>
    </row>
    <row r="8">
      <c r="A8" s="10"/>
      <c r="B8" s="11" t="s">
        <v>39</v>
      </c>
      <c r="C8" s="11" t="s">
        <v>40</v>
      </c>
      <c r="D8" s="11" t="s">
        <v>41</v>
      </c>
      <c r="E8" s="11" t="s">
        <v>42</v>
      </c>
      <c r="F8" s="11" t="s">
        <v>36</v>
      </c>
      <c r="G8" s="12">
        <v>3.0</v>
      </c>
      <c r="H8" s="13">
        <v>1.0</v>
      </c>
      <c r="I8" s="13">
        <f t="shared" si="1"/>
        <v>2</v>
      </c>
      <c r="J8" s="14"/>
      <c r="K8" s="13">
        <v>1.0</v>
      </c>
      <c r="L8" s="13">
        <f t="shared" si="2"/>
        <v>1</v>
      </c>
      <c r="M8" s="14"/>
      <c r="N8" s="13">
        <v>1.0</v>
      </c>
      <c r="O8" s="13">
        <f t="shared" si="3"/>
        <v>0</v>
      </c>
      <c r="P8" s="14"/>
      <c r="Q8" s="15">
        <v>0.0</v>
      </c>
      <c r="R8" s="13">
        <f t="shared" si="4"/>
        <v>0</v>
      </c>
      <c r="S8" s="14"/>
      <c r="T8" s="15">
        <v>0.0</v>
      </c>
      <c r="U8" s="13">
        <f t="shared" si="5"/>
        <v>0</v>
      </c>
      <c r="V8" s="14"/>
      <c r="W8" s="15">
        <v>0.0</v>
      </c>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6">
        <f t="shared" si="21"/>
        <v>3</v>
      </c>
      <c r="BQ8" s="16">
        <f t="shared" si="22"/>
        <v>0</v>
      </c>
    </row>
    <row r="9">
      <c r="A9" s="10"/>
      <c r="B9" s="17"/>
      <c r="C9" s="17"/>
      <c r="D9" s="11" t="s">
        <v>43</v>
      </c>
      <c r="E9" s="11" t="s">
        <v>35</v>
      </c>
      <c r="F9" s="11" t="s">
        <v>36</v>
      </c>
      <c r="G9" s="12">
        <v>5.0</v>
      </c>
      <c r="H9" s="15">
        <v>1.0</v>
      </c>
      <c r="I9" s="13">
        <f t="shared" si="1"/>
        <v>4</v>
      </c>
      <c r="J9" s="14"/>
      <c r="K9" s="15">
        <v>1.0</v>
      </c>
      <c r="L9" s="13">
        <f t="shared" si="2"/>
        <v>3</v>
      </c>
      <c r="M9" s="14"/>
      <c r="N9" s="15">
        <v>1.0</v>
      </c>
      <c r="O9" s="13">
        <f t="shared" si="3"/>
        <v>2</v>
      </c>
      <c r="P9" s="14"/>
      <c r="Q9" s="15">
        <v>1.0</v>
      </c>
      <c r="R9" s="13">
        <f t="shared" si="4"/>
        <v>1</v>
      </c>
      <c r="S9" s="14"/>
      <c r="T9" s="15">
        <v>1.0</v>
      </c>
      <c r="U9" s="13">
        <f t="shared" si="5"/>
        <v>0</v>
      </c>
      <c r="V9" s="14"/>
      <c r="W9" s="13"/>
      <c r="X9" s="13">
        <f t="shared" si="6"/>
        <v>0</v>
      </c>
      <c r="Y9" s="14"/>
      <c r="Z9" s="13"/>
      <c r="AA9" s="13">
        <f t="shared" si="7"/>
        <v>0</v>
      </c>
      <c r="AB9" s="14"/>
      <c r="AC9" s="13"/>
      <c r="AD9" s="13">
        <f t="shared" si="8"/>
        <v>0</v>
      </c>
      <c r="AE9" s="14"/>
      <c r="AF9" s="15">
        <v>0.0</v>
      </c>
      <c r="AG9" s="13">
        <f t="shared" si="9"/>
        <v>0</v>
      </c>
      <c r="AH9" s="14"/>
      <c r="AI9" s="15">
        <v>0.0</v>
      </c>
      <c r="AJ9" s="13">
        <f t="shared" si="10"/>
        <v>0</v>
      </c>
      <c r="AK9" s="14"/>
      <c r="AL9" s="15">
        <v>0.0</v>
      </c>
      <c r="AM9" s="13">
        <f t="shared" si="11"/>
        <v>0</v>
      </c>
      <c r="AN9" s="14"/>
      <c r="AO9" s="15">
        <v>0.0</v>
      </c>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6">
        <f t="shared" si="21"/>
        <v>5</v>
      </c>
      <c r="BQ9" s="16">
        <f t="shared" si="22"/>
        <v>0</v>
      </c>
    </row>
    <row r="10">
      <c r="A10" s="10"/>
      <c r="B10" s="11" t="s">
        <v>44</v>
      </c>
      <c r="C10" s="11" t="s">
        <v>45</v>
      </c>
      <c r="D10" s="11" t="s">
        <v>46</v>
      </c>
      <c r="E10" s="11" t="s">
        <v>38</v>
      </c>
      <c r="F10" s="11" t="s">
        <v>36</v>
      </c>
      <c r="G10" s="12">
        <v>4.0</v>
      </c>
      <c r="H10" s="13">
        <v>1.0</v>
      </c>
      <c r="I10" s="13">
        <f t="shared" si="1"/>
        <v>3</v>
      </c>
      <c r="J10" s="14"/>
      <c r="K10" s="13">
        <v>1.0</v>
      </c>
      <c r="L10" s="13">
        <f t="shared" si="2"/>
        <v>2</v>
      </c>
      <c r="M10" s="14"/>
      <c r="N10" s="13">
        <v>1.0</v>
      </c>
      <c r="O10" s="13">
        <f t="shared" si="3"/>
        <v>1</v>
      </c>
      <c r="P10" s="14"/>
      <c r="Q10" s="13">
        <v>1.0</v>
      </c>
      <c r="R10" s="13">
        <f t="shared" si="4"/>
        <v>0</v>
      </c>
      <c r="S10" s="14"/>
      <c r="T10" s="15">
        <v>0.0</v>
      </c>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6">
        <f t="shared" si="21"/>
        <v>4</v>
      </c>
      <c r="BQ10" s="16">
        <f t="shared" si="22"/>
        <v>0</v>
      </c>
    </row>
    <row r="11">
      <c r="A11" s="10"/>
      <c r="B11" s="17"/>
      <c r="C11" s="17"/>
      <c r="D11" s="11" t="s">
        <v>47</v>
      </c>
      <c r="E11" s="11" t="s">
        <v>35</v>
      </c>
      <c r="F11" s="11" t="s">
        <v>36</v>
      </c>
      <c r="G11" s="12">
        <v>4.0</v>
      </c>
      <c r="H11" s="13">
        <v>1.0</v>
      </c>
      <c r="I11" s="13">
        <f t="shared" si="1"/>
        <v>3</v>
      </c>
      <c r="J11" s="14"/>
      <c r="K11" s="13">
        <v>1.0</v>
      </c>
      <c r="L11" s="13">
        <f t="shared" si="2"/>
        <v>2</v>
      </c>
      <c r="M11" s="14"/>
      <c r="N11" s="13">
        <v>1.0</v>
      </c>
      <c r="O11" s="13">
        <f t="shared" si="3"/>
        <v>1</v>
      </c>
      <c r="P11" s="14"/>
      <c r="Q11" s="13">
        <v>1.0</v>
      </c>
      <c r="R11" s="13">
        <f t="shared" si="4"/>
        <v>0</v>
      </c>
      <c r="S11" s="14"/>
      <c r="T11" s="15">
        <v>0.0</v>
      </c>
      <c r="U11" s="13">
        <f t="shared" si="5"/>
        <v>0</v>
      </c>
      <c r="V11" s="14"/>
      <c r="W11" s="15">
        <v>0.0</v>
      </c>
      <c r="X11" s="13">
        <f t="shared" si="6"/>
        <v>0</v>
      </c>
      <c r="Y11" s="14"/>
      <c r="Z11" s="15">
        <v>0.0</v>
      </c>
      <c r="AA11" s="13">
        <f t="shared" si="7"/>
        <v>0</v>
      </c>
      <c r="AB11" s="14"/>
      <c r="AC11" s="15">
        <v>0.0</v>
      </c>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6">
        <f t="shared" si="21"/>
        <v>4</v>
      </c>
      <c r="BQ11" s="16">
        <f t="shared" si="22"/>
        <v>0</v>
      </c>
    </row>
    <row r="12">
      <c r="A12" s="10"/>
      <c r="B12" s="11" t="s">
        <v>48</v>
      </c>
      <c r="C12" s="11" t="s">
        <v>49</v>
      </c>
      <c r="D12" s="11" t="s">
        <v>50</v>
      </c>
      <c r="E12" s="11" t="s">
        <v>38</v>
      </c>
      <c r="F12" s="11" t="s">
        <v>36</v>
      </c>
      <c r="G12" s="12">
        <v>3.0</v>
      </c>
      <c r="H12" s="13">
        <v>1.0</v>
      </c>
      <c r="I12" s="13">
        <f t="shared" si="1"/>
        <v>2</v>
      </c>
      <c r="J12" s="14"/>
      <c r="K12" s="13">
        <v>1.0</v>
      </c>
      <c r="L12" s="13">
        <f t="shared" si="2"/>
        <v>1</v>
      </c>
      <c r="M12" s="14"/>
      <c r="N12" s="13">
        <v>1.0</v>
      </c>
      <c r="O12" s="13">
        <f t="shared" si="3"/>
        <v>0</v>
      </c>
      <c r="P12" s="14"/>
      <c r="Q12" s="15">
        <v>0.0</v>
      </c>
      <c r="R12" s="13">
        <f t="shared" si="4"/>
        <v>0</v>
      </c>
      <c r="S12" s="14"/>
      <c r="T12" s="15">
        <v>0.0</v>
      </c>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6">
        <f t="shared" si="21"/>
        <v>3</v>
      </c>
      <c r="BQ12" s="16">
        <f t="shared" si="22"/>
        <v>0</v>
      </c>
    </row>
    <row r="13">
      <c r="A13" s="10"/>
      <c r="B13" s="17"/>
      <c r="C13" s="17"/>
      <c r="D13" s="11" t="s">
        <v>51</v>
      </c>
      <c r="E13" s="11" t="s">
        <v>35</v>
      </c>
      <c r="F13" s="11" t="s">
        <v>36</v>
      </c>
      <c r="G13" s="12">
        <v>4.0</v>
      </c>
      <c r="H13" s="15">
        <v>1.0</v>
      </c>
      <c r="I13" s="13">
        <f t="shared" si="1"/>
        <v>3</v>
      </c>
      <c r="J13" s="14"/>
      <c r="K13" s="15">
        <v>1.0</v>
      </c>
      <c r="L13" s="13">
        <f t="shared" si="2"/>
        <v>2</v>
      </c>
      <c r="M13" s="14"/>
      <c r="N13" s="15">
        <v>1.0</v>
      </c>
      <c r="O13" s="13">
        <f t="shared" si="3"/>
        <v>1</v>
      </c>
      <c r="P13" s="14"/>
      <c r="Q13" s="15">
        <v>1.0</v>
      </c>
      <c r="R13" s="13">
        <f t="shared" si="4"/>
        <v>0</v>
      </c>
      <c r="S13" s="14"/>
      <c r="T13" s="15">
        <v>0.0</v>
      </c>
      <c r="U13" s="13">
        <f t="shared" si="5"/>
        <v>0</v>
      </c>
      <c r="V13" s="14"/>
      <c r="W13" s="13"/>
      <c r="X13" s="13">
        <f t="shared" si="6"/>
        <v>0</v>
      </c>
      <c r="Y13" s="14"/>
      <c r="Z13" s="13"/>
      <c r="AA13" s="13">
        <f t="shared" si="7"/>
        <v>0</v>
      </c>
      <c r="AB13" s="14"/>
      <c r="AC13" s="13"/>
      <c r="AD13" s="13">
        <f t="shared" si="8"/>
        <v>0</v>
      </c>
      <c r="AE13" s="14"/>
      <c r="AF13" s="15">
        <v>0.0</v>
      </c>
      <c r="AG13" s="13">
        <f t="shared" si="9"/>
        <v>0</v>
      </c>
      <c r="AH13" s="14"/>
      <c r="AI13" s="15">
        <v>0.0</v>
      </c>
      <c r="AJ13" s="13">
        <f t="shared" si="10"/>
        <v>0</v>
      </c>
      <c r="AK13" s="14"/>
      <c r="AL13" s="15">
        <v>0.0</v>
      </c>
      <c r="AM13" s="13">
        <f t="shared" si="11"/>
        <v>0</v>
      </c>
      <c r="AN13" s="14"/>
      <c r="AO13" s="15">
        <v>0.0</v>
      </c>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6">
        <f t="shared" si="21"/>
        <v>4</v>
      </c>
      <c r="BQ13" s="16">
        <f t="shared" si="22"/>
        <v>0</v>
      </c>
    </row>
    <row r="14">
      <c r="A14" s="10"/>
      <c r="B14" s="11" t="s">
        <v>52</v>
      </c>
      <c r="C14" s="11" t="s">
        <v>53</v>
      </c>
      <c r="D14" s="11" t="s">
        <v>54</v>
      </c>
      <c r="E14" s="11" t="s">
        <v>38</v>
      </c>
      <c r="F14" s="11" t="s">
        <v>36</v>
      </c>
      <c r="G14" s="12">
        <v>5.0</v>
      </c>
      <c r="H14" s="13">
        <v>1.0</v>
      </c>
      <c r="I14" s="13">
        <f t="shared" si="1"/>
        <v>4</v>
      </c>
      <c r="J14" s="14"/>
      <c r="K14" s="13">
        <v>1.0</v>
      </c>
      <c r="L14" s="13">
        <f t="shared" si="2"/>
        <v>3</v>
      </c>
      <c r="M14" s="14"/>
      <c r="N14" s="13">
        <v>1.0</v>
      </c>
      <c r="O14" s="13">
        <f t="shared" si="3"/>
        <v>2</v>
      </c>
      <c r="P14" s="14"/>
      <c r="Q14" s="13">
        <v>1.0</v>
      </c>
      <c r="R14" s="13">
        <f t="shared" si="4"/>
        <v>1</v>
      </c>
      <c r="S14" s="14"/>
      <c r="T14" s="15">
        <v>1.0</v>
      </c>
      <c r="U14" s="13">
        <f t="shared" si="5"/>
        <v>0</v>
      </c>
      <c r="V14" s="14"/>
      <c r="W14" s="13"/>
      <c r="X14" s="13">
        <f t="shared" si="6"/>
        <v>0</v>
      </c>
      <c r="Y14" s="14"/>
      <c r="Z14" s="13"/>
      <c r="AA14" s="13">
        <f t="shared" si="7"/>
        <v>0</v>
      </c>
      <c r="AB14" s="14"/>
      <c r="AC14" s="13"/>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6">
        <f t="shared" si="21"/>
        <v>5</v>
      </c>
      <c r="BQ14" s="16">
        <f t="shared" si="22"/>
        <v>0</v>
      </c>
    </row>
    <row r="15">
      <c r="A15" s="10"/>
      <c r="B15" s="17"/>
      <c r="C15" s="17"/>
      <c r="D15" s="11" t="s">
        <v>55</v>
      </c>
      <c r="E15" s="11" t="s">
        <v>35</v>
      </c>
      <c r="F15" s="11" t="s">
        <v>36</v>
      </c>
      <c r="G15" s="12">
        <v>5.0</v>
      </c>
      <c r="H15" s="13">
        <v>1.0</v>
      </c>
      <c r="I15" s="13">
        <f t="shared" si="1"/>
        <v>4</v>
      </c>
      <c r="J15" s="14"/>
      <c r="K15" s="13">
        <v>1.0</v>
      </c>
      <c r="L15" s="13">
        <f t="shared" si="2"/>
        <v>3</v>
      </c>
      <c r="M15" s="14"/>
      <c r="N15" s="13">
        <v>1.0</v>
      </c>
      <c r="O15" s="13">
        <f t="shared" si="3"/>
        <v>2</v>
      </c>
      <c r="P15" s="14"/>
      <c r="Q15" s="13">
        <v>1.0</v>
      </c>
      <c r="R15" s="13">
        <f t="shared" si="4"/>
        <v>1</v>
      </c>
      <c r="S15" s="14"/>
      <c r="T15" s="13">
        <v>1.0</v>
      </c>
      <c r="U15" s="13">
        <f t="shared" si="5"/>
        <v>0</v>
      </c>
      <c r="V15" s="14"/>
      <c r="W15" s="13"/>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6">
        <f t="shared" si="21"/>
        <v>5</v>
      </c>
      <c r="BQ15" s="16">
        <f t="shared" si="22"/>
        <v>0</v>
      </c>
    </row>
    <row r="16">
      <c r="A16" s="10"/>
      <c r="B16" s="11" t="s">
        <v>56</v>
      </c>
      <c r="C16" s="11" t="s">
        <v>57</v>
      </c>
      <c r="D16" s="11" t="s">
        <v>58</v>
      </c>
      <c r="E16" s="11" t="s">
        <v>38</v>
      </c>
      <c r="F16" s="11" t="s">
        <v>36</v>
      </c>
      <c r="G16" s="12">
        <v>5.0</v>
      </c>
      <c r="H16" s="13">
        <v>1.0</v>
      </c>
      <c r="I16" s="13">
        <f t="shared" si="1"/>
        <v>4</v>
      </c>
      <c r="J16" s="14"/>
      <c r="K16" s="13">
        <v>1.0</v>
      </c>
      <c r="L16" s="13">
        <f t="shared" si="2"/>
        <v>3</v>
      </c>
      <c r="M16" s="14"/>
      <c r="N16" s="13">
        <v>1.0</v>
      </c>
      <c r="O16" s="13">
        <f t="shared" si="3"/>
        <v>2</v>
      </c>
      <c r="P16" s="14"/>
      <c r="Q16" s="13">
        <v>1.0</v>
      </c>
      <c r="R16" s="13">
        <f t="shared" si="4"/>
        <v>1</v>
      </c>
      <c r="S16" s="14"/>
      <c r="T16" s="15">
        <v>1.0</v>
      </c>
      <c r="U16" s="13">
        <f t="shared" si="5"/>
        <v>0</v>
      </c>
      <c r="V16" s="14"/>
      <c r="W16" s="13"/>
      <c r="X16" s="13">
        <f t="shared" si="6"/>
        <v>0</v>
      </c>
      <c r="Y16" s="14"/>
      <c r="Z16" s="13"/>
      <c r="AA16" s="13">
        <f t="shared" si="7"/>
        <v>0</v>
      </c>
      <c r="AB16" s="14"/>
      <c r="AC16" s="13"/>
      <c r="AD16" s="13">
        <f t="shared" si="8"/>
        <v>0</v>
      </c>
      <c r="AE16" s="14"/>
      <c r="AF16" s="13"/>
      <c r="AG16" s="13">
        <f t="shared" si="9"/>
        <v>0</v>
      </c>
      <c r="AH16" s="14"/>
      <c r="AI16" s="13"/>
      <c r="AJ16" s="13">
        <f t="shared" si="10"/>
        <v>0</v>
      </c>
      <c r="AK16" s="14"/>
      <c r="AL16" s="13"/>
      <c r="AM16" s="13">
        <f t="shared" si="11"/>
        <v>0</v>
      </c>
      <c r="AN16" s="14"/>
      <c r="AO16" s="13"/>
      <c r="AP16" s="13">
        <f t="shared" si="12"/>
        <v>0</v>
      </c>
      <c r="AQ16" s="14"/>
      <c r="AR16" s="13"/>
      <c r="AS16" s="13">
        <f t="shared" si="13"/>
        <v>0</v>
      </c>
      <c r="AT16" s="14"/>
      <c r="AU16" s="13"/>
      <c r="AV16" s="13">
        <f t="shared" si="14"/>
        <v>0</v>
      </c>
      <c r="AW16" s="14"/>
      <c r="AX16" s="13"/>
      <c r="AY16" s="13">
        <f t="shared" si="15"/>
        <v>0</v>
      </c>
      <c r="AZ16" s="14"/>
      <c r="BA16" s="13"/>
      <c r="BB16" s="13">
        <f t="shared" si="16"/>
        <v>0</v>
      </c>
      <c r="BC16" s="14"/>
      <c r="BD16" s="13"/>
      <c r="BE16" s="13">
        <f t="shared" si="17"/>
        <v>0</v>
      </c>
      <c r="BF16" s="14"/>
      <c r="BG16" s="13"/>
      <c r="BH16" s="13">
        <f t="shared" si="18"/>
        <v>0</v>
      </c>
      <c r="BI16" s="14"/>
      <c r="BJ16" s="13"/>
      <c r="BK16" s="13">
        <f t="shared" si="19"/>
        <v>0</v>
      </c>
      <c r="BL16" s="14"/>
      <c r="BM16" s="13"/>
      <c r="BN16" s="13">
        <f t="shared" si="20"/>
        <v>0</v>
      </c>
      <c r="BO16" s="14"/>
      <c r="BP16" s="16">
        <f t="shared" si="21"/>
        <v>5</v>
      </c>
      <c r="BQ16" s="16">
        <f t="shared" si="22"/>
        <v>0</v>
      </c>
    </row>
    <row r="17">
      <c r="A17" s="10"/>
      <c r="B17" s="17"/>
      <c r="C17" s="17"/>
      <c r="D17" s="11" t="s">
        <v>59</v>
      </c>
      <c r="E17" s="11" t="s">
        <v>35</v>
      </c>
      <c r="F17" s="11" t="s">
        <v>36</v>
      </c>
      <c r="G17" s="12">
        <v>4.0</v>
      </c>
      <c r="H17" s="13">
        <v>1.0</v>
      </c>
      <c r="I17" s="13">
        <f t="shared" si="1"/>
        <v>3</v>
      </c>
      <c r="J17" s="14"/>
      <c r="K17" s="13">
        <v>1.0</v>
      </c>
      <c r="L17" s="13">
        <f t="shared" si="2"/>
        <v>2</v>
      </c>
      <c r="M17" s="14"/>
      <c r="N17" s="13">
        <v>1.0</v>
      </c>
      <c r="O17" s="13">
        <f t="shared" si="3"/>
        <v>1</v>
      </c>
      <c r="P17" s="14"/>
      <c r="Q17" s="13">
        <v>1.0</v>
      </c>
      <c r="R17" s="13">
        <f t="shared" si="4"/>
        <v>0</v>
      </c>
      <c r="S17" s="14"/>
      <c r="T17" s="15">
        <v>0.0</v>
      </c>
      <c r="U17" s="13">
        <f t="shared" si="5"/>
        <v>0</v>
      </c>
      <c r="V17" s="14"/>
      <c r="W17" s="15">
        <v>0.0</v>
      </c>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6">
        <f t="shared" si="21"/>
        <v>4</v>
      </c>
      <c r="BQ17" s="16">
        <f t="shared" si="22"/>
        <v>0</v>
      </c>
    </row>
    <row r="18">
      <c r="A18" s="10"/>
      <c r="B18" s="11" t="s">
        <v>60</v>
      </c>
      <c r="C18" s="11" t="s">
        <v>61</v>
      </c>
      <c r="D18" s="11" t="s">
        <v>62</v>
      </c>
      <c r="E18" s="11" t="s">
        <v>38</v>
      </c>
      <c r="F18" s="11" t="s">
        <v>36</v>
      </c>
      <c r="G18" s="12">
        <v>4.0</v>
      </c>
      <c r="H18" s="13">
        <v>1.0</v>
      </c>
      <c r="I18" s="13">
        <f t="shared" si="1"/>
        <v>3</v>
      </c>
      <c r="J18" s="14"/>
      <c r="K18" s="13">
        <v>1.0</v>
      </c>
      <c r="L18" s="13">
        <f t="shared" si="2"/>
        <v>2</v>
      </c>
      <c r="M18" s="14"/>
      <c r="N18" s="13">
        <v>1.0</v>
      </c>
      <c r="O18" s="13">
        <f t="shared" si="3"/>
        <v>1</v>
      </c>
      <c r="P18" s="14"/>
      <c r="Q18" s="13">
        <v>1.0</v>
      </c>
      <c r="R18" s="13">
        <f t="shared" si="4"/>
        <v>0</v>
      </c>
      <c r="S18" s="14"/>
      <c r="T18" s="13"/>
      <c r="U18" s="13">
        <f t="shared" si="5"/>
        <v>0</v>
      </c>
      <c r="V18" s="14"/>
      <c r="W18" s="13"/>
      <c r="X18" s="13">
        <f t="shared" si="6"/>
        <v>0</v>
      </c>
      <c r="Y18" s="14"/>
      <c r="Z18" s="13"/>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6">
        <f t="shared" si="21"/>
        <v>4</v>
      </c>
      <c r="BQ18" s="16">
        <f t="shared" si="22"/>
        <v>0</v>
      </c>
    </row>
    <row r="19">
      <c r="A19" s="10"/>
      <c r="B19" s="11" t="s">
        <v>63</v>
      </c>
      <c r="C19" s="11" t="s">
        <v>64</v>
      </c>
      <c r="D19" s="11" t="s">
        <v>65</v>
      </c>
      <c r="E19" s="11" t="s">
        <v>42</v>
      </c>
      <c r="F19" s="11" t="s">
        <v>36</v>
      </c>
      <c r="G19" s="12">
        <v>3.0</v>
      </c>
      <c r="H19" s="13">
        <v>1.0</v>
      </c>
      <c r="I19" s="13">
        <f t="shared" si="1"/>
        <v>2</v>
      </c>
      <c r="J19" s="14"/>
      <c r="K19" s="13">
        <v>1.0</v>
      </c>
      <c r="L19" s="13">
        <f t="shared" si="2"/>
        <v>1</v>
      </c>
      <c r="M19" s="14"/>
      <c r="N19" s="13">
        <v>1.0</v>
      </c>
      <c r="O19" s="13">
        <f t="shared" si="3"/>
        <v>0</v>
      </c>
      <c r="P19" s="14"/>
      <c r="Q19" s="15">
        <v>0.0</v>
      </c>
      <c r="R19" s="13">
        <f t="shared" si="4"/>
        <v>0</v>
      </c>
      <c r="S19" s="14"/>
      <c r="T19" s="15">
        <v>0.0</v>
      </c>
      <c r="U19" s="13">
        <f t="shared" si="5"/>
        <v>0</v>
      </c>
      <c r="V19" s="14"/>
      <c r="W19" s="15">
        <v>0.0</v>
      </c>
      <c r="X19" s="13">
        <f t="shared" si="6"/>
        <v>0</v>
      </c>
      <c r="Y19" s="14"/>
      <c r="Z19" s="13"/>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6">
        <f t="shared" si="21"/>
        <v>3</v>
      </c>
      <c r="BQ19" s="16">
        <f t="shared" si="22"/>
        <v>0</v>
      </c>
    </row>
    <row r="20">
      <c r="A20" s="10"/>
      <c r="B20" s="17"/>
      <c r="C20" s="17"/>
      <c r="D20" s="11" t="s">
        <v>66</v>
      </c>
      <c r="E20" s="11" t="s">
        <v>35</v>
      </c>
      <c r="F20" s="11" t="s">
        <v>36</v>
      </c>
      <c r="G20" s="12">
        <v>5.0</v>
      </c>
      <c r="H20" s="13"/>
      <c r="I20" s="13">
        <f t="shared" si="1"/>
        <v>5</v>
      </c>
      <c r="J20" s="14"/>
      <c r="K20" s="13"/>
      <c r="L20" s="13">
        <f t="shared" si="2"/>
        <v>5</v>
      </c>
      <c r="M20" s="14"/>
      <c r="N20" s="13"/>
      <c r="O20" s="13">
        <f t="shared" si="3"/>
        <v>5</v>
      </c>
      <c r="P20" s="14"/>
      <c r="Q20" s="13"/>
      <c r="R20" s="13">
        <f t="shared" si="4"/>
        <v>5</v>
      </c>
      <c r="S20" s="14"/>
      <c r="T20" s="13"/>
      <c r="U20" s="13">
        <f t="shared" si="5"/>
        <v>5</v>
      </c>
      <c r="V20" s="14"/>
      <c r="W20" s="13"/>
      <c r="X20" s="13">
        <f t="shared" si="6"/>
        <v>5</v>
      </c>
      <c r="Y20" s="14"/>
      <c r="Z20" s="13">
        <v>1.0</v>
      </c>
      <c r="AA20" s="13">
        <f t="shared" si="7"/>
        <v>4</v>
      </c>
      <c r="AB20" s="14"/>
      <c r="AC20" s="13">
        <v>1.0</v>
      </c>
      <c r="AD20" s="13">
        <f t="shared" si="8"/>
        <v>3</v>
      </c>
      <c r="AE20" s="14"/>
      <c r="AF20" s="13">
        <v>1.0</v>
      </c>
      <c r="AG20" s="13">
        <f t="shared" si="9"/>
        <v>2</v>
      </c>
      <c r="AH20" s="14"/>
      <c r="AI20" s="15">
        <v>1.0</v>
      </c>
      <c r="AJ20" s="13">
        <f t="shared" si="10"/>
        <v>1</v>
      </c>
      <c r="AK20" s="14"/>
      <c r="AL20" s="15">
        <v>1.0</v>
      </c>
      <c r="AM20" s="15">
        <v>1.0</v>
      </c>
      <c r="AN20" s="14"/>
      <c r="AO20" s="15">
        <v>1.0</v>
      </c>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6">
        <f t="shared" si="21"/>
        <v>6</v>
      </c>
      <c r="BQ20" s="16">
        <f t="shared" si="22"/>
        <v>-1</v>
      </c>
    </row>
    <row r="21" ht="15.75" customHeight="1">
      <c r="A21" s="10"/>
      <c r="B21" s="11" t="s">
        <v>67</v>
      </c>
      <c r="C21" s="11" t="s">
        <v>68</v>
      </c>
      <c r="D21" s="11" t="s">
        <v>69</v>
      </c>
      <c r="E21" s="11" t="s">
        <v>42</v>
      </c>
      <c r="F21" s="11" t="s">
        <v>36</v>
      </c>
      <c r="G21" s="12">
        <v>4.0</v>
      </c>
      <c r="H21" s="13"/>
      <c r="I21" s="13">
        <f t="shared" si="1"/>
        <v>4</v>
      </c>
      <c r="J21" s="14"/>
      <c r="K21" s="13"/>
      <c r="L21" s="13">
        <f t="shared" si="2"/>
        <v>4</v>
      </c>
      <c r="M21" s="14"/>
      <c r="N21" s="13"/>
      <c r="O21" s="13">
        <f t="shared" si="3"/>
        <v>4</v>
      </c>
      <c r="P21" s="14"/>
      <c r="Q21" s="13"/>
      <c r="R21" s="13">
        <f t="shared" si="4"/>
        <v>4</v>
      </c>
      <c r="S21" s="14"/>
      <c r="T21" s="13"/>
      <c r="U21" s="13">
        <f t="shared" si="5"/>
        <v>4</v>
      </c>
      <c r="V21" s="14"/>
      <c r="W21" s="13"/>
      <c r="X21" s="13">
        <f t="shared" si="6"/>
        <v>4</v>
      </c>
      <c r="Y21" s="14"/>
      <c r="Z21" s="13">
        <v>1.0</v>
      </c>
      <c r="AA21" s="13">
        <f t="shared" si="7"/>
        <v>3</v>
      </c>
      <c r="AB21" s="14"/>
      <c r="AC21" s="13">
        <v>1.0</v>
      </c>
      <c r="AD21" s="13">
        <f t="shared" si="8"/>
        <v>2</v>
      </c>
      <c r="AE21" s="14"/>
      <c r="AF21" s="13">
        <v>1.0</v>
      </c>
      <c r="AG21" s="13">
        <f t="shared" si="9"/>
        <v>1</v>
      </c>
      <c r="AH21" s="14"/>
      <c r="AI21" s="15">
        <v>1.0</v>
      </c>
      <c r="AJ21" s="13">
        <f t="shared" si="10"/>
        <v>0</v>
      </c>
      <c r="AK21" s="14"/>
      <c r="AL21" s="13"/>
      <c r="AM21" s="13">
        <f t="shared" ref="AM21:AM27" si="23">AJ21-AL21</f>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6">
        <f t="shared" si="21"/>
        <v>4</v>
      </c>
      <c r="BQ21" s="16">
        <f t="shared" si="22"/>
        <v>0</v>
      </c>
    </row>
    <row r="22" ht="15.75" customHeight="1">
      <c r="A22" s="10"/>
      <c r="B22" s="17"/>
      <c r="C22" s="17"/>
      <c r="D22" s="11" t="s">
        <v>70</v>
      </c>
      <c r="E22" s="11" t="s">
        <v>35</v>
      </c>
      <c r="F22" s="11" t="s">
        <v>36</v>
      </c>
      <c r="G22" s="12">
        <v>6.0</v>
      </c>
      <c r="H22" s="13"/>
      <c r="I22" s="13">
        <f t="shared" si="1"/>
        <v>6</v>
      </c>
      <c r="J22" s="14"/>
      <c r="K22" s="13"/>
      <c r="L22" s="13">
        <f t="shared" si="2"/>
        <v>6</v>
      </c>
      <c r="M22" s="14"/>
      <c r="N22" s="13"/>
      <c r="O22" s="13">
        <f t="shared" si="3"/>
        <v>6</v>
      </c>
      <c r="P22" s="14"/>
      <c r="Q22" s="13"/>
      <c r="R22" s="13">
        <f t="shared" si="4"/>
        <v>6</v>
      </c>
      <c r="S22" s="14"/>
      <c r="T22" s="13"/>
      <c r="U22" s="13">
        <f t="shared" si="5"/>
        <v>6</v>
      </c>
      <c r="V22" s="14"/>
      <c r="W22" s="13"/>
      <c r="X22" s="13">
        <f t="shared" si="6"/>
        <v>6</v>
      </c>
      <c r="Y22" s="14"/>
      <c r="Z22" s="13">
        <v>1.0</v>
      </c>
      <c r="AA22" s="13">
        <f t="shared" si="7"/>
        <v>5</v>
      </c>
      <c r="AB22" s="14"/>
      <c r="AC22" s="13">
        <v>1.0</v>
      </c>
      <c r="AD22" s="13">
        <f t="shared" si="8"/>
        <v>4</v>
      </c>
      <c r="AE22" s="14"/>
      <c r="AF22" s="13">
        <v>1.0</v>
      </c>
      <c r="AG22" s="13">
        <f t="shared" si="9"/>
        <v>3</v>
      </c>
      <c r="AH22" s="14"/>
      <c r="AI22" s="15">
        <v>1.0</v>
      </c>
      <c r="AJ22" s="13">
        <f t="shared" si="10"/>
        <v>2</v>
      </c>
      <c r="AK22" s="14"/>
      <c r="AL22" s="15">
        <v>1.0</v>
      </c>
      <c r="AM22" s="13">
        <f t="shared" si="23"/>
        <v>1</v>
      </c>
      <c r="AN22" s="14"/>
      <c r="AO22" s="15">
        <v>1.0</v>
      </c>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6">
        <f t="shared" si="21"/>
        <v>6</v>
      </c>
      <c r="BQ22" s="16">
        <f t="shared" si="22"/>
        <v>0</v>
      </c>
    </row>
    <row r="23" ht="15.75" customHeight="1">
      <c r="A23" s="10"/>
      <c r="B23" s="17"/>
      <c r="C23" s="17"/>
      <c r="D23" s="11" t="s">
        <v>71</v>
      </c>
      <c r="E23" s="11" t="s">
        <v>38</v>
      </c>
      <c r="F23" s="11" t="s">
        <v>36</v>
      </c>
      <c r="G23" s="12">
        <v>4.0</v>
      </c>
      <c r="H23" s="13"/>
      <c r="I23" s="13">
        <f t="shared" si="1"/>
        <v>4</v>
      </c>
      <c r="J23" s="14"/>
      <c r="K23" s="13"/>
      <c r="L23" s="13">
        <f t="shared" si="2"/>
        <v>4</v>
      </c>
      <c r="M23" s="14"/>
      <c r="N23" s="13"/>
      <c r="O23" s="13">
        <f t="shared" si="3"/>
        <v>4</v>
      </c>
      <c r="P23" s="14"/>
      <c r="Q23" s="13"/>
      <c r="R23" s="13">
        <f t="shared" si="4"/>
        <v>4</v>
      </c>
      <c r="S23" s="14"/>
      <c r="T23" s="13"/>
      <c r="U23" s="13">
        <f t="shared" si="5"/>
        <v>4</v>
      </c>
      <c r="V23" s="14"/>
      <c r="W23" s="13"/>
      <c r="X23" s="13">
        <f t="shared" si="6"/>
        <v>4</v>
      </c>
      <c r="Y23" s="14"/>
      <c r="Z23" s="13">
        <v>1.0</v>
      </c>
      <c r="AA23" s="13">
        <f t="shared" si="7"/>
        <v>3</v>
      </c>
      <c r="AB23" s="14"/>
      <c r="AC23" s="13">
        <v>1.0</v>
      </c>
      <c r="AD23" s="13">
        <f t="shared" si="8"/>
        <v>2</v>
      </c>
      <c r="AE23" s="14"/>
      <c r="AF23" s="13">
        <v>1.0</v>
      </c>
      <c r="AG23" s="13">
        <f t="shared" si="9"/>
        <v>1</v>
      </c>
      <c r="AH23" s="14"/>
      <c r="AI23" s="15">
        <v>1.0</v>
      </c>
      <c r="AJ23" s="13">
        <f t="shared" si="10"/>
        <v>0</v>
      </c>
      <c r="AK23" s="14"/>
      <c r="AL23" s="13"/>
      <c r="AM23" s="13">
        <f t="shared" si="23"/>
        <v>0</v>
      </c>
      <c r="AN23" s="14"/>
      <c r="AO23" s="13"/>
      <c r="AP23" s="13">
        <f t="shared" si="12"/>
        <v>0</v>
      </c>
      <c r="AQ23" s="14"/>
      <c r="AR23" s="13"/>
      <c r="AS23" s="13">
        <f t="shared" si="13"/>
        <v>0</v>
      </c>
      <c r="AT23" s="14"/>
      <c r="AU23" s="13"/>
      <c r="AV23" s="13">
        <f t="shared" si="14"/>
        <v>0</v>
      </c>
      <c r="AW23" s="14"/>
      <c r="AX23" s="13"/>
      <c r="AY23" s="13">
        <f t="shared" si="15"/>
        <v>0</v>
      </c>
      <c r="AZ23" s="14"/>
      <c r="BA23" s="13"/>
      <c r="BB23" s="13">
        <f t="shared" si="16"/>
        <v>0</v>
      </c>
      <c r="BC23" s="14"/>
      <c r="BD23" s="13"/>
      <c r="BE23" s="13">
        <f t="shared" si="17"/>
        <v>0</v>
      </c>
      <c r="BF23" s="14"/>
      <c r="BG23" s="13"/>
      <c r="BH23" s="13">
        <f t="shared" si="18"/>
        <v>0</v>
      </c>
      <c r="BI23" s="14"/>
      <c r="BJ23" s="13"/>
      <c r="BK23" s="13">
        <f t="shared" si="19"/>
        <v>0</v>
      </c>
      <c r="BL23" s="14"/>
      <c r="BM23" s="13"/>
      <c r="BN23" s="13">
        <f t="shared" si="20"/>
        <v>0</v>
      </c>
      <c r="BO23" s="14"/>
      <c r="BP23" s="16">
        <f t="shared" si="21"/>
        <v>4</v>
      </c>
      <c r="BQ23" s="16">
        <f t="shared" si="22"/>
        <v>0</v>
      </c>
    </row>
    <row r="24" ht="15.75" customHeight="1">
      <c r="A24" s="10"/>
      <c r="B24" s="11" t="s">
        <v>72</v>
      </c>
      <c r="C24" s="11" t="s">
        <v>73</v>
      </c>
      <c r="D24" s="11" t="s">
        <v>74</v>
      </c>
      <c r="E24" s="11" t="s">
        <v>38</v>
      </c>
      <c r="F24" s="11" t="s">
        <v>36</v>
      </c>
      <c r="G24" s="12">
        <v>5.0</v>
      </c>
      <c r="H24" s="13"/>
      <c r="I24" s="13">
        <f t="shared" si="1"/>
        <v>5</v>
      </c>
      <c r="J24" s="14"/>
      <c r="K24" s="13"/>
      <c r="L24" s="13">
        <f t="shared" si="2"/>
        <v>5</v>
      </c>
      <c r="M24" s="14"/>
      <c r="N24" s="13"/>
      <c r="O24" s="13">
        <f t="shared" si="3"/>
        <v>5</v>
      </c>
      <c r="P24" s="14"/>
      <c r="Q24" s="13"/>
      <c r="R24" s="13">
        <f t="shared" si="4"/>
        <v>5</v>
      </c>
      <c r="S24" s="14"/>
      <c r="T24" s="13"/>
      <c r="U24" s="13">
        <f t="shared" si="5"/>
        <v>5</v>
      </c>
      <c r="V24" s="14"/>
      <c r="W24" s="13"/>
      <c r="X24" s="13">
        <f t="shared" si="6"/>
        <v>5</v>
      </c>
      <c r="Y24" s="14"/>
      <c r="Z24" s="13">
        <v>1.0</v>
      </c>
      <c r="AA24" s="13">
        <f t="shared" si="7"/>
        <v>4</v>
      </c>
      <c r="AB24" s="14"/>
      <c r="AC24" s="13">
        <v>1.0</v>
      </c>
      <c r="AD24" s="13">
        <f t="shared" si="8"/>
        <v>3</v>
      </c>
      <c r="AE24" s="14"/>
      <c r="AF24" s="13">
        <v>1.0</v>
      </c>
      <c r="AG24" s="13">
        <f t="shared" si="9"/>
        <v>2</v>
      </c>
      <c r="AH24" s="14"/>
      <c r="AI24" s="15">
        <v>1.0</v>
      </c>
      <c r="AJ24" s="13">
        <f t="shared" si="10"/>
        <v>1</v>
      </c>
      <c r="AK24" s="14"/>
      <c r="AL24" s="15">
        <v>1.0</v>
      </c>
      <c r="AM24" s="13">
        <f t="shared" si="23"/>
        <v>0</v>
      </c>
      <c r="AN24" s="14"/>
      <c r="AO24" s="13"/>
      <c r="AP24" s="13">
        <f t="shared" si="12"/>
        <v>0</v>
      </c>
      <c r="AQ24" s="14"/>
      <c r="AR24" s="13"/>
      <c r="AS24" s="13">
        <f t="shared" si="13"/>
        <v>0</v>
      </c>
      <c r="AT24" s="14"/>
      <c r="AU24" s="13"/>
      <c r="AV24" s="13">
        <f t="shared" si="14"/>
        <v>0</v>
      </c>
      <c r="AW24" s="14"/>
      <c r="AX24" s="13"/>
      <c r="AY24" s="13">
        <f t="shared" si="15"/>
        <v>0</v>
      </c>
      <c r="AZ24" s="14"/>
      <c r="BA24" s="13"/>
      <c r="BB24" s="13">
        <f t="shared" si="16"/>
        <v>0</v>
      </c>
      <c r="BC24" s="14"/>
      <c r="BD24" s="13"/>
      <c r="BE24" s="13">
        <f t="shared" si="17"/>
        <v>0</v>
      </c>
      <c r="BF24" s="14"/>
      <c r="BG24" s="13"/>
      <c r="BH24" s="13">
        <f t="shared" si="18"/>
        <v>0</v>
      </c>
      <c r="BI24" s="14"/>
      <c r="BJ24" s="13"/>
      <c r="BK24" s="13">
        <f t="shared" si="19"/>
        <v>0</v>
      </c>
      <c r="BL24" s="14"/>
      <c r="BM24" s="13"/>
      <c r="BN24" s="13">
        <f t="shared" si="20"/>
        <v>0</v>
      </c>
      <c r="BO24" s="14"/>
      <c r="BP24" s="16">
        <f t="shared" si="21"/>
        <v>5</v>
      </c>
      <c r="BQ24" s="16">
        <f t="shared" si="22"/>
        <v>0</v>
      </c>
    </row>
    <row r="25" ht="15.75" customHeight="1">
      <c r="A25" s="10"/>
      <c r="B25" s="11" t="s">
        <v>75</v>
      </c>
      <c r="C25" s="11" t="s">
        <v>76</v>
      </c>
      <c r="D25" s="11" t="s">
        <v>77</v>
      </c>
      <c r="E25" s="11" t="s">
        <v>38</v>
      </c>
      <c r="F25" s="11" t="s">
        <v>36</v>
      </c>
      <c r="G25" s="12">
        <v>4.0</v>
      </c>
      <c r="H25" s="13"/>
      <c r="I25" s="13">
        <f t="shared" si="1"/>
        <v>4</v>
      </c>
      <c r="J25" s="14"/>
      <c r="K25" s="13"/>
      <c r="L25" s="13">
        <f t="shared" si="2"/>
        <v>4</v>
      </c>
      <c r="M25" s="14"/>
      <c r="N25" s="13"/>
      <c r="O25" s="13">
        <f t="shared" si="3"/>
        <v>4</v>
      </c>
      <c r="P25" s="14"/>
      <c r="Q25" s="13"/>
      <c r="R25" s="13">
        <f t="shared" si="4"/>
        <v>4</v>
      </c>
      <c r="S25" s="14"/>
      <c r="T25" s="13"/>
      <c r="U25" s="13">
        <f t="shared" si="5"/>
        <v>4</v>
      </c>
      <c r="V25" s="14"/>
      <c r="W25" s="13"/>
      <c r="X25" s="13">
        <f t="shared" si="6"/>
        <v>4</v>
      </c>
      <c r="Y25" s="14"/>
      <c r="Z25" s="13">
        <v>1.0</v>
      </c>
      <c r="AA25" s="13">
        <f t="shared" si="7"/>
        <v>3</v>
      </c>
      <c r="AB25" s="14"/>
      <c r="AC25" s="13">
        <v>1.0</v>
      </c>
      <c r="AD25" s="13">
        <f t="shared" si="8"/>
        <v>2</v>
      </c>
      <c r="AE25" s="14"/>
      <c r="AF25" s="13">
        <v>1.0</v>
      </c>
      <c r="AG25" s="13">
        <f t="shared" si="9"/>
        <v>1</v>
      </c>
      <c r="AH25" s="14"/>
      <c r="AI25" s="15">
        <v>1.0</v>
      </c>
      <c r="AJ25" s="13">
        <f t="shared" si="10"/>
        <v>0</v>
      </c>
      <c r="AK25" s="14"/>
      <c r="AL25" s="13"/>
      <c r="AM25" s="13">
        <f t="shared" si="23"/>
        <v>0</v>
      </c>
      <c r="AN25" s="14"/>
      <c r="AO25" s="13"/>
      <c r="AP25" s="13">
        <f t="shared" si="12"/>
        <v>0</v>
      </c>
      <c r="AQ25" s="14"/>
      <c r="AR25" s="13"/>
      <c r="AS25" s="13">
        <f t="shared" si="13"/>
        <v>0</v>
      </c>
      <c r="AT25" s="14"/>
      <c r="AU25" s="13"/>
      <c r="AV25" s="13">
        <f t="shared" si="14"/>
        <v>0</v>
      </c>
      <c r="AW25" s="14"/>
      <c r="AX25" s="13"/>
      <c r="AY25" s="13">
        <f t="shared" si="15"/>
        <v>0</v>
      </c>
      <c r="AZ25" s="14"/>
      <c r="BA25" s="13"/>
      <c r="BB25" s="13">
        <f t="shared" si="16"/>
        <v>0</v>
      </c>
      <c r="BC25" s="14"/>
      <c r="BD25" s="13"/>
      <c r="BE25" s="13">
        <f t="shared" si="17"/>
        <v>0</v>
      </c>
      <c r="BF25" s="14"/>
      <c r="BG25" s="13"/>
      <c r="BH25" s="13">
        <f t="shared" si="18"/>
        <v>0</v>
      </c>
      <c r="BI25" s="14"/>
      <c r="BJ25" s="13"/>
      <c r="BK25" s="13">
        <f t="shared" si="19"/>
        <v>0</v>
      </c>
      <c r="BL25" s="14"/>
      <c r="BM25" s="13"/>
      <c r="BN25" s="13">
        <f t="shared" si="20"/>
        <v>0</v>
      </c>
      <c r="BO25" s="14"/>
      <c r="BP25" s="16">
        <f t="shared" si="21"/>
        <v>4</v>
      </c>
      <c r="BQ25" s="16">
        <f t="shared" si="22"/>
        <v>0</v>
      </c>
    </row>
    <row r="26" ht="15.75" customHeight="1">
      <c r="A26" s="10"/>
      <c r="B26" s="11" t="s">
        <v>78</v>
      </c>
      <c r="C26" s="11" t="s">
        <v>79</v>
      </c>
      <c r="D26" s="11" t="s">
        <v>80</v>
      </c>
      <c r="E26" s="11" t="s">
        <v>38</v>
      </c>
      <c r="F26" s="11" t="s">
        <v>36</v>
      </c>
      <c r="G26" s="12">
        <v>3.0</v>
      </c>
      <c r="H26" s="13"/>
      <c r="I26" s="13">
        <f t="shared" si="1"/>
        <v>3</v>
      </c>
      <c r="J26" s="14"/>
      <c r="K26" s="13"/>
      <c r="L26" s="13">
        <f t="shared" si="2"/>
        <v>3</v>
      </c>
      <c r="M26" s="14"/>
      <c r="N26" s="13"/>
      <c r="O26" s="13">
        <f t="shared" si="3"/>
        <v>3</v>
      </c>
      <c r="P26" s="14"/>
      <c r="Q26" s="13"/>
      <c r="R26" s="13">
        <f t="shared" si="4"/>
        <v>3</v>
      </c>
      <c r="S26" s="14"/>
      <c r="T26" s="13"/>
      <c r="U26" s="13">
        <f t="shared" si="5"/>
        <v>3</v>
      </c>
      <c r="V26" s="14"/>
      <c r="W26" s="13"/>
      <c r="X26" s="13">
        <f t="shared" si="6"/>
        <v>3</v>
      </c>
      <c r="Y26" s="14"/>
      <c r="Z26" s="13">
        <v>1.0</v>
      </c>
      <c r="AA26" s="13">
        <f t="shared" si="7"/>
        <v>2</v>
      </c>
      <c r="AB26" s="14"/>
      <c r="AC26" s="13">
        <v>1.0</v>
      </c>
      <c r="AD26" s="13">
        <f t="shared" si="8"/>
        <v>1</v>
      </c>
      <c r="AE26" s="14"/>
      <c r="AF26" s="13">
        <v>1.0</v>
      </c>
      <c r="AG26" s="13">
        <f t="shared" si="9"/>
        <v>0</v>
      </c>
      <c r="AH26" s="14"/>
      <c r="AI26" s="15">
        <v>0.0</v>
      </c>
      <c r="AJ26" s="13">
        <f t="shared" si="10"/>
        <v>0</v>
      </c>
      <c r="AK26" s="14"/>
      <c r="AL26" s="13"/>
      <c r="AM26" s="13">
        <f t="shared" si="23"/>
        <v>0</v>
      </c>
      <c r="AN26" s="14"/>
      <c r="AO26" s="13"/>
      <c r="AP26" s="13">
        <f t="shared" si="12"/>
        <v>0</v>
      </c>
      <c r="AQ26" s="14"/>
      <c r="AR26" s="13"/>
      <c r="AS26" s="13">
        <f t="shared" si="13"/>
        <v>0</v>
      </c>
      <c r="AT26" s="14"/>
      <c r="AU26" s="13"/>
      <c r="AV26" s="13">
        <f t="shared" si="14"/>
        <v>0</v>
      </c>
      <c r="AW26" s="14"/>
      <c r="AX26" s="13"/>
      <c r="AY26" s="13">
        <f t="shared" si="15"/>
        <v>0</v>
      </c>
      <c r="AZ26" s="14"/>
      <c r="BA26" s="13"/>
      <c r="BB26" s="13">
        <f t="shared" si="16"/>
        <v>0</v>
      </c>
      <c r="BC26" s="14"/>
      <c r="BD26" s="13"/>
      <c r="BE26" s="13">
        <f t="shared" si="17"/>
        <v>0</v>
      </c>
      <c r="BF26" s="14"/>
      <c r="BG26" s="13"/>
      <c r="BH26" s="13">
        <f t="shared" si="18"/>
        <v>0</v>
      </c>
      <c r="BI26" s="14"/>
      <c r="BJ26" s="13"/>
      <c r="BK26" s="13">
        <f t="shared" si="19"/>
        <v>0</v>
      </c>
      <c r="BL26" s="14"/>
      <c r="BM26" s="13"/>
      <c r="BN26" s="13">
        <f t="shared" si="20"/>
        <v>0</v>
      </c>
      <c r="BO26" s="14"/>
      <c r="BP26" s="16">
        <f t="shared" si="21"/>
        <v>3</v>
      </c>
      <c r="BQ26" s="16">
        <f t="shared" si="22"/>
        <v>0</v>
      </c>
    </row>
    <row r="27" ht="15.75" customHeight="1">
      <c r="A27" s="10"/>
      <c r="B27" s="17"/>
      <c r="C27" s="17"/>
      <c r="D27" s="11" t="s">
        <v>81</v>
      </c>
      <c r="E27" s="11" t="s">
        <v>38</v>
      </c>
      <c r="F27" s="11" t="s">
        <v>36</v>
      </c>
      <c r="G27" s="12">
        <v>3.0</v>
      </c>
      <c r="H27" s="13"/>
      <c r="I27" s="13">
        <f t="shared" si="1"/>
        <v>3</v>
      </c>
      <c r="J27" s="14"/>
      <c r="K27" s="13"/>
      <c r="L27" s="13">
        <f t="shared" si="2"/>
        <v>3</v>
      </c>
      <c r="M27" s="14"/>
      <c r="N27" s="13"/>
      <c r="O27" s="13">
        <f t="shared" si="3"/>
        <v>3</v>
      </c>
      <c r="P27" s="14"/>
      <c r="Q27" s="13"/>
      <c r="R27" s="13">
        <f t="shared" si="4"/>
        <v>3</v>
      </c>
      <c r="S27" s="14"/>
      <c r="T27" s="13"/>
      <c r="U27" s="13">
        <f t="shared" si="5"/>
        <v>3</v>
      </c>
      <c r="V27" s="14"/>
      <c r="W27" s="13"/>
      <c r="X27" s="13">
        <f t="shared" si="6"/>
        <v>3</v>
      </c>
      <c r="Y27" s="14"/>
      <c r="Z27" s="13">
        <v>1.0</v>
      </c>
      <c r="AA27" s="13">
        <f t="shared" si="7"/>
        <v>2</v>
      </c>
      <c r="AB27" s="14"/>
      <c r="AC27" s="13">
        <v>1.0</v>
      </c>
      <c r="AD27" s="13">
        <f t="shared" si="8"/>
        <v>1</v>
      </c>
      <c r="AE27" s="14"/>
      <c r="AF27" s="13">
        <v>1.0</v>
      </c>
      <c r="AG27" s="13">
        <f t="shared" si="9"/>
        <v>0</v>
      </c>
      <c r="AH27" s="14"/>
      <c r="AI27" s="15">
        <v>0.0</v>
      </c>
      <c r="AJ27" s="13">
        <f t="shared" si="10"/>
        <v>0</v>
      </c>
      <c r="AK27" s="14"/>
      <c r="AL27" s="15">
        <v>0.0</v>
      </c>
      <c r="AM27" s="13">
        <f t="shared" si="23"/>
        <v>0</v>
      </c>
      <c r="AN27" s="14"/>
      <c r="AO27" s="15">
        <v>0.0</v>
      </c>
      <c r="AP27" s="13">
        <f t="shared" si="12"/>
        <v>0</v>
      </c>
      <c r="AQ27" s="14"/>
      <c r="AR27" s="13"/>
      <c r="AS27" s="13">
        <f t="shared" si="13"/>
        <v>0</v>
      </c>
      <c r="AT27" s="14"/>
      <c r="AU27" s="13"/>
      <c r="AV27" s="13">
        <f t="shared" si="14"/>
        <v>0</v>
      </c>
      <c r="AW27" s="14"/>
      <c r="AX27" s="13"/>
      <c r="AY27" s="13">
        <f t="shared" si="15"/>
        <v>0</v>
      </c>
      <c r="AZ27" s="14"/>
      <c r="BA27" s="13"/>
      <c r="BB27" s="13">
        <f t="shared" si="16"/>
        <v>0</v>
      </c>
      <c r="BC27" s="14"/>
      <c r="BD27" s="13"/>
      <c r="BE27" s="13">
        <f t="shared" si="17"/>
        <v>0</v>
      </c>
      <c r="BF27" s="14"/>
      <c r="BG27" s="13"/>
      <c r="BH27" s="13">
        <f t="shared" si="18"/>
        <v>0</v>
      </c>
      <c r="BI27" s="14"/>
      <c r="BJ27" s="13"/>
      <c r="BK27" s="13">
        <f t="shared" si="19"/>
        <v>0</v>
      </c>
      <c r="BL27" s="14"/>
      <c r="BM27" s="13"/>
      <c r="BN27" s="13">
        <f t="shared" si="20"/>
        <v>0</v>
      </c>
      <c r="BO27" s="14"/>
      <c r="BP27" s="16">
        <f t="shared" si="21"/>
        <v>3</v>
      </c>
      <c r="BQ27" s="16">
        <f t="shared" si="22"/>
        <v>0</v>
      </c>
    </row>
    <row r="28" ht="15.75" customHeight="1">
      <c r="A28" s="10"/>
      <c r="B28" s="18"/>
      <c r="C28" s="18"/>
      <c r="D28" s="18"/>
      <c r="E28" s="18"/>
      <c r="F28" s="18"/>
      <c r="G28" s="19">
        <f>SUM(G6:G27)</f>
        <v>92</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0"/>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0"/>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0"/>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0"/>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82</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83</v>
      </c>
      <c r="C4" s="20" t="s">
        <v>84</v>
      </c>
      <c r="D4" s="1"/>
      <c r="E4" s="1"/>
      <c r="F4" s="1"/>
      <c r="G4" s="1"/>
      <c r="H4" s="1"/>
      <c r="I4" s="1"/>
      <c r="J4" s="1"/>
      <c r="K4" s="1"/>
      <c r="L4" s="1"/>
      <c r="M4" s="1"/>
      <c r="N4" s="1"/>
      <c r="O4" s="1"/>
      <c r="P4" s="1"/>
      <c r="Q4" s="1"/>
      <c r="R4" s="1"/>
      <c r="S4" s="1"/>
      <c r="T4" s="1"/>
      <c r="U4" s="1"/>
      <c r="V4" s="1"/>
      <c r="W4" s="1"/>
      <c r="X4" s="1"/>
      <c r="Y4" s="1"/>
      <c r="Z4" s="1"/>
    </row>
    <row r="5">
      <c r="A5" s="1"/>
      <c r="B5" s="21" t="str">
        <f>'Historias de Usuario'!B5</f>
        <v>Identificador (ID) de item de product backlog</v>
      </c>
      <c r="C5" s="21" t="s">
        <v>85</v>
      </c>
      <c r="D5" s="1"/>
      <c r="E5" s="1"/>
      <c r="F5" s="1"/>
      <c r="G5" s="1"/>
      <c r="H5" s="1"/>
      <c r="I5" s="1"/>
      <c r="J5" s="1"/>
      <c r="K5" s="1"/>
      <c r="L5" s="1"/>
      <c r="M5" s="1"/>
      <c r="N5" s="1"/>
      <c r="O5" s="1"/>
      <c r="P5" s="1"/>
      <c r="Q5" s="1"/>
      <c r="R5" s="1"/>
      <c r="S5" s="1"/>
      <c r="T5" s="1"/>
      <c r="U5" s="1"/>
      <c r="V5" s="1"/>
      <c r="W5" s="1"/>
      <c r="X5" s="1"/>
      <c r="Y5" s="1"/>
      <c r="Z5" s="1"/>
    </row>
    <row r="6">
      <c r="A6" s="1"/>
      <c r="B6" s="21" t="str">
        <f>'Historias de Usuario'!C5</f>
        <v>Enunciado del item de Product Backlog</v>
      </c>
      <c r="C6" s="21" t="s">
        <v>86</v>
      </c>
      <c r="D6" s="1"/>
      <c r="E6" s="1"/>
      <c r="F6" s="1"/>
      <c r="G6" s="1"/>
      <c r="H6" s="1"/>
      <c r="I6" s="1"/>
      <c r="J6" s="1"/>
      <c r="K6" s="1"/>
      <c r="L6" s="1"/>
      <c r="M6" s="1"/>
      <c r="N6" s="1"/>
      <c r="O6" s="1"/>
      <c r="P6" s="1"/>
      <c r="Q6" s="1"/>
      <c r="R6" s="1"/>
      <c r="S6" s="1"/>
      <c r="T6" s="1"/>
      <c r="U6" s="1"/>
      <c r="V6" s="1"/>
      <c r="W6" s="1"/>
      <c r="X6" s="1"/>
      <c r="Y6" s="1"/>
      <c r="Z6" s="1"/>
    </row>
    <row r="7">
      <c r="A7" s="1"/>
      <c r="B7" s="21" t="s">
        <v>26</v>
      </c>
      <c r="C7" s="21" t="s">
        <v>87</v>
      </c>
      <c r="D7" s="1"/>
      <c r="E7" s="1"/>
      <c r="F7" s="1"/>
      <c r="G7" s="1"/>
      <c r="H7" s="1"/>
      <c r="I7" s="1"/>
      <c r="J7" s="1"/>
      <c r="K7" s="1"/>
      <c r="L7" s="1"/>
      <c r="M7" s="1"/>
      <c r="N7" s="1"/>
      <c r="O7" s="1"/>
      <c r="P7" s="1"/>
      <c r="Q7" s="1"/>
      <c r="R7" s="1"/>
      <c r="S7" s="1"/>
      <c r="T7" s="1"/>
      <c r="U7" s="1"/>
      <c r="V7" s="1"/>
      <c r="W7" s="1"/>
      <c r="X7" s="1"/>
      <c r="Y7" s="1"/>
      <c r="Z7" s="1"/>
    </row>
    <row r="8">
      <c r="A8" s="1"/>
      <c r="B8" s="21" t="s">
        <v>27</v>
      </c>
      <c r="C8" s="21" t="s">
        <v>88</v>
      </c>
      <c r="D8" s="1"/>
      <c r="E8" s="1"/>
      <c r="F8" s="1"/>
      <c r="G8" s="1"/>
      <c r="H8" s="1"/>
      <c r="I8" s="1"/>
      <c r="J8" s="1"/>
      <c r="K8" s="1"/>
      <c r="L8" s="1"/>
      <c r="M8" s="1"/>
      <c r="N8" s="1"/>
      <c r="O8" s="1"/>
      <c r="P8" s="1"/>
      <c r="Q8" s="1"/>
      <c r="R8" s="1"/>
      <c r="S8" s="1"/>
      <c r="T8" s="1"/>
      <c r="U8" s="1"/>
      <c r="V8" s="1"/>
      <c r="W8" s="1"/>
      <c r="X8" s="1"/>
      <c r="Y8" s="1"/>
      <c r="Z8" s="1"/>
    </row>
    <row r="9">
      <c r="A9" s="1"/>
      <c r="B9" s="21" t="s">
        <v>28</v>
      </c>
      <c r="C9" s="21" t="s">
        <v>89</v>
      </c>
      <c r="D9" s="1"/>
      <c r="E9" s="1"/>
      <c r="F9" s="1"/>
      <c r="G9" s="1"/>
      <c r="H9" s="1"/>
      <c r="I9" s="1"/>
      <c r="J9" s="1"/>
      <c r="K9" s="1"/>
      <c r="L9" s="1"/>
      <c r="M9" s="1"/>
      <c r="N9" s="1"/>
      <c r="O9" s="1"/>
      <c r="P9" s="1"/>
      <c r="Q9" s="1"/>
      <c r="R9" s="1"/>
      <c r="S9" s="1"/>
      <c r="T9" s="1"/>
      <c r="U9" s="1"/>
      <c r="V9" s="1"/>
      <c r="W9" s="1"/>
      <c r="X9" s="1"/>
      <c r="Y9" s="1"/>
      <c r="Z9" s="1"/>
    </row>
    <row r="10">
      <c r="A10" s="1"/>
      <c r="B10" s="21" t="s">
        <v>29</v>
      </c>
      <c r="C10" s="21" t="s">
        <v>90</v>
      </c>
      <c r="D10" s="1"/>
      <c r="E10" s="1"/>
      <c r="F10" s="1"/>
      <c r="G10" s="1"/>
      <c r="H10" s="1"/>
      <c r="I10" s="1"/>
      <c r="J10" s="1"/>
      <c r="K10" s="1"/>
      <c r="L10" s="1"/>
      <c r="M10" s="1"/>
      <c r="N10" s="1"/>
      <c r="O10" s="1"/>
      <c r="P10" s="1"/>
      <c r="Q10" s="1"/>
      <c r="R10" s="1"/>
      <c r="S10" s="1"/>
      <c r="T10" s="1"/>
      <c r="U10" s="1"/>
      <c r="V10" s="1"/>
      <c r="W10" s="1"/>
      <c r="X10" s="1"/>
      <c r="Y10" s="1"/>
      <c r="Z10" s="1"/>
    </row>
    <row r="11">
      <c r="A11" s="1"/>
      <c r="B11" s="21" t="s">
        <v>91</v>
      </c>
      <c r="C11" s="21" t="s">
        <v>92</v>
      </c>
      <c r="D11" s="1"/>
      <c r="E11" s="1"/>
      <c r="F11" s="1"/>
      <c r="G11" s="1"/>
      <c r="H11" s="1"/>
      <c r="I11" s="1"/>
      <c r="J11" s="1"/>
      <c r="K11" s="1"/>
      <c r="L11" s="1"/>
      <c r="M11" s="1"/>
      <c r="N11" s="1"/>
      <c r="O11" s="1"/>
      <c r="P11" s="1"/>
      <c r="Q11" s="1"/>
      <c r="R11" s="1"/>
      <c r="S11" s="1"/>
      <c r="T11" s="1"/>
      <c r="U11" s="1"/>
      <c r="V11" s="1"/>
      <c r="W11" s="1"/>
      <c r="X11" s="1"/>
      <c r="Y11" s="1"/>
      <c r="Z11" s="1"/>
    </row>
    <row r="12">
      <c r="A12" s="1"/>
      <c r="B12" s="21" t="s">
        <v>30</v>
      </c>
      <c r="C12" s="21" t="s">
        <v>93</v>
      </c>
      <c r="D12" s="1"/>
      <c r="E12" s="1"/>
      <c r="F12" s="1"/>
      <c r="G12" s="1"/>
      <c r="H12" s="1"/>
      <c r="I12" s="1"/>
      <c r="J12" s="1"/>
      <c r="K12" s="1"/>
      <c r="L12" s="1"/>
      <c r="M12" s="1"/>
      <c r="N12" s="1"/>
      <c r="O12" s="1"/>
      <c r="P12" s="1"/>
      <c r="Q12" s="1"/>
      <c r="R12" s="1"/>
      <c r="S12" s="1"/>
      <c r="T12" s="1"/>
      <c r="U12" s="1"/>
      <c r="V12" s="1"/>
      <c r="W12" s="1"/>
      <c r="X12" s="1"/>
      <c r="Y12" s="1"/>
      <c r="Z12" s="1"/>
    </row>
    <row r="13">
      <c r="A13" s="1"/>
      <c r="B13" s="21" t="s">
        <v>31</v>
      </c>
      <c r="C13" s="21" t="s">
        <v>94</v>
      </c>
      <c r="D13" s="1"/>
      <c r="E13" s="1"/>
      <c r="F13" s="1"/>
      <c r="G13" s="1"/>
      <c r="H13" s="1"/>
      <c r="I13" s="1"/>
      <c r="J13" s="1"/>
      <c r="K13" s="1"/>
      <c r="L13" s="1"/>
      <c r="M13" s="1"/>
      <c r="N13" s="1"/>
      <c r="O13" s="1"/>
      <c r="P13" s="1"/>
      <c r="Q13" s="1"/>
      <c r="R13" s="1"/>
      <c r="S13" s="1"/>
      <c r="T13" s="1"/>
      <c r="U13" s="1"/>
      <c r="V13" s="1"/>
      <c r="W13" s="1"/>
      <c r="X13" s="1"/>
      <c r="Y13" s="1"/>
      <c r="Z13" s="1"/>
    </row>
    <row r="14">
      <c r="A14" s="1"/>
      <c r="B14" s="21" t="s">
        <v>23</v>
      </c>
      <c r="C14" s="21" t="s">
        <v>95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B3" s="22" t="s">
        <v>96</v>
      </c>
      <c r="C3" s="22" t="s">
        <v>97</v>
      </c>
      <c r="D3" s="22" t="s">
        <v>98</v>
      </c>
    </row>
    <row r="4">
      <c r="B4" s="23">
        <v>0.0</v>
      </c>
      <c r="C4" s="23">
        <v>92.0</v>
      </c>
      <c r="D4" s="23">
        <v>92.0</v>
      </c>
    </row>
    <row r="5">
      <c r="B5" s="23">
        <v>1.0</v>
      </c>
      <c r="C5" s="23">
        <v>82.8</v>
      </c>
      <c r="D5" s="23">
        <v>86.0</v>
      </c>
    </row>
    <row r="6">
      <c r="B6" s="23">
        <v>2.0</v>
      </c>
      <c r="C6" s="23">
        <v>73.6</v>
      </c>
      <c r="D6" s="23">
        <v>80.0</v>
      </c>
    </row>
    <row r="7">
      <c r="B7" s="23">
        <v>3.0</v>
      </c>
      <c r="C7" s="23">
        <v>64.4</v>
      </c>
      <c r="D7" s="23">
        <v>75.0</v>
      </c>
    </row>
    <row r="8">
      <c r="B8" s="23">
        <v>4.0</v>
      </c>
      <c r="C8" s="23">
        <v>55.2</v>
      </c>
      <c r="D8" s="23">
        <v>69.0</v>
      </c>
    </row>
    <row r="9">
      <c r="B9" s="23">
        <v>5.0</v>
      </c>
      <c r="C9" s="23">
        <v>46.0</v>
      </c>
      <c r="D9" s="23">
        <v>61.0</v>
      </c>
    </row>
    <row r="10">
      <c r="B10" s="23">
        <v>6.0</v>
      </c>
      <c r="C10" s="23">
        <v>36.8</v>
      </c>
      <c r="D10" s="23">
        <v>51.0</v>
      </c>
    </row>
    <row r="11">
      <c r="B11" s="23">
        <v>7.0</v>
      </c>
      <c r="C11" s="23">
        <v>27.6</v>
      </c>
      <c r="D11" s="23">
        <v>42.0</v>
      </c>
    </row>
    <row r="12">
      <c r="B12" s="23">
        <v>8.0</v>
      </c>
      <c r="C12" s="23">
        <v>18.4</v>
      </c>
      <c r="D12" s="23">
        <v>34.0</v>
      </c>
    </row>
    <row r="13">
      <c r="B13" s="23">
        <v>9.0</v>
      </c>
      <c r="C13" s="23">
        <v>9.2</v>
      </c>
      <c r="D13" s="23">
        <v>27.0</v>
      </c>
    </row>
    <row r="14">
      <c r="B14" s="23">
        <v>10.0</v>
      </c>
      <c r="C14" s="23">
        <v>0.0</v>
      </c>
      <c r="D14" s="23">
        <v>0.0</v>
      </c>
    </row>
    <row r="15">
      <c r="B15" s="24" t="s">
        <v>99</v>
      </c>
      <c r="C15" s="25"/>
      <c r="D15" s="25"/>
    </row>
    <row r="18">
      <c r="B18" s="26" t="s">
        <v>100</v>
      </c>
    </row>
  </sheetData>
  <mergeCells count="1">
    <mergeCell ref="B18:D3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