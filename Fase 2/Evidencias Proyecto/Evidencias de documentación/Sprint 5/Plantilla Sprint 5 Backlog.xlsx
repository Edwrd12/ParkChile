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Gráfico" sheetId="3" r:id="rId6"/>
  </sheets>
  <definedNames/>
  <calcPr/>
  <extLst>
    <ext uri="GoogleSheetsCustomDataVersion2">
      <go:sheetsCustomData xmlns:go="http://customooxmlschemas.google.com/" r:id="rId7" roundtripDataChecksum="ftBBPUb9CG/Ac5pHOxbaNlMcSYFIpQafnkZAbH6bsEU="/>
    </ext>
  </extLst>
</workbook>
</file>

<file path=xl/sharedStrings.xml><?xml version="1.0" encoding="utf-8"?>
<sst xmlns="http://schemas.openxmlformats.org/spreadsheetml/2006/main" count="162" uniqueCount="86">
  <si>
    <t>Metodologías ágiles: Lista de tareas de la iteración</t>
  </si>
  <si>
    <t>(Sprint 5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</si>
  <si>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</si>
  <si>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</si>
  <si>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</si>
  <si>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</si>
  <si>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</si>
  <si>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</si>
  <si>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</si>
  <si>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</si>
  <si>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</si>
  <si>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</si>
  <si>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</si>
  <si>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</si>
  <si>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</si>
  <si>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</si>
  <si>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</si>
  <si>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</si>
  <si>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</si>
  <si>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</si>
  <si>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</si>
  <si>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</si>
  <si>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</si>
  <si>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</si>
  <si>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</si>
  <si>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</si>
  <si>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</si>
  <si>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</si>
  <si>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</si>
  <si>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</si>
  <si>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</si>
  <si>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</si>
  <si>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HU-25</t>
  </si>
  <si>
    <t>Perfil – Seguridad</t>
  </si>
  <si>
    <t>Pantalla seguridad (última actualización pass, info medidas)</t>
  </si>
  <si>
    <t>Dev FE</t>
  </si>
  <si>
    <t>Pendiente</t>
  </si>
  <si>
    <t>Endpoint GET /user/security</t>
  </si>
  <si>
    <t>Dev BE</t>
  </si>
  <si>
    <t>HU-26</t>
  </si>
  <si>
    <t>Modificar contraseña</t>
  </si>
  <si>
    <t>Formulario cambio contraseña</t>
  </si>
  <si>
    <t>UX/UI</t>
  </si>
  <si>
    <t>Endpoint POST /user/change-password</t>
  </si>
  <si>
    <t>Validaciones de seguridad en FE</t>
  </si>
  <si>
    <t>HU-27</t>
  </si>
  <si>
    <t>Desactivar cuenta</t>
  </si>
  <si>
    <t>Modal confirmar desactivación</t>
  </si>
  <si>
    <t>Endpoint DELETE /user/{id}</t>
  </si>
  <si>
    <t>HU-35</t>
  </si>
  <si>
    <t>Favoritos</t>
  </si>
  <si>
    <t>Listado favoritos (vistos y guardados)</t>
  </si>
  <si>
    <t>Endpoint GET /favorites</t>
  </si>
  <si>
    <t>HU-36</t>
  </si>
  <si>
    <t>Favoritos por grupo</t>
  </si>
  <si>
    <t>Pantalla grupo favoritos</t>
  </si>
  <si>
    <t>Endpoint DELETE grupo favoritos</t>
  </si>
  <si>
    <t>HU-34</t>
  </si>
  <si>
    <t>Chat soporte (extendido)</t>
  </si>
  <si>
    <t>Mejorar flujo bot y traspaso a agente</t>
  </si>
  <si>
    <t>UI soporte mejorada (FAQ + chat)</t>
  </si>
  <si>
    <t>---</t>
  </si>
  <si>
    <t>Tareas técnicas</t>
  </si>
  <si>
    <t>Optimización de rendimiento en mapa y reservas</t>
  </si>
  <si>
    <t>Revisión de seguridad (XSS, SQLi, encriptación)</t>
  </si>
  <si>
    <t>Dev Sec</t>
  </si>
  <si>
    <t>Pruebas de carga (reservas y pagos)</t>
  </si>
  <si>
    <t>QA</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</si>
  <si>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</si>
  <si>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</si>
  <si>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</si>
  <si>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</si>
  <si>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</si>
  <si>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</si>
  <si>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</si>
  <si>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</si>
  <si>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</si>
  <si>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</si>
  <si>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</si>
  <si>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</si>
  <si>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</si>
  <si>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</si>
  <si>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Día</t>
  </si>
  <si>
    <t>Esfuerzo Ideal</t>
  </si>
  <si>
    <t>Esfuerzo Real</t>
  </si>
  <si>
    <t>El Burndown Chart del Sprint 5 muestra la reducción del esfuerzo durante la etapa final del proyecto, centrada en seguridad, favoritos, soporte y optimización del sistema.
En los primeros días, el avance fue más lento debido a tareas técnicas complejas, como la revisión de seguridad y las pruebas de carga, que requirieron coordinación entre desarrollo backend, frontend y QA.
A medida que se completaron las optimizaciones de rendimiento y la integración del nuevo flujo de soporte, el equipo logró acelerar el ritmo y cerrar las HU restantes, logrando una disminución sostenida del esfuerzo hasta completar el sprint según lo planificado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</si>
</sst>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
      <b/>
      <sz val="11.0"/>
      <color rgb="FFFFFFFF"/>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4F81BD"/>
        <bgColor rgb="FF4F81BD"/>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
      <left style="thin">
        <color rgb="FF000000"/>
      </left>
      <right style="thin">
        <color rgb="FF000000"/>
      </right>
      <top style="thin">
        <color rgb="FF000000"/>
      </top>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7" fillId="2" fontId="1" numFmtId="0" xfId="0" applyBorder="1" applyFont="1"/>
    <xf borderId="5" fillId="0" fontId="6" numFmtId="0" xfId="0" applyAlignment="1" applyBorder="1" applyFont="1">
      <alignment readingOrder="0" shrinkToFit="0" wrapText="1"/>
    </xf>
    <xf borderId="5" fillId="0" fontId="6" numFmtId="0" xfId="0" applyAlignment="1" applyBorder="1" applyFont="1">
      <alignment readingOrder="0"/>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5" fillId="5" fontId="1" numFmtId="0" xfId="0" applyAlignment="1" applyBorder="1" applyFill="1" applyFont="1">
      <alignment horizontal="right" shrinkToFit="0" vertical="top" wrapText="1"/>
    </xf>
    <xf borderId="5" fillId="0" fontId="6" numFmtId="0" xfId="0" applyAlignment="1" applyBorder="1" applyFont="1">
      <alignment shrinkToFit="0" wrapText="1"/>
    </xf>
    <xf borderId="8" fillId="2" fontId="1" numFmtId="0" xfId="0" applyBorder="1" applyFont="1"/>
    <xf borderId="5" fillId="3" fontId="4" numFmtId="0" xfId="0" applyBorder="1" applyFont="1"/>
    <xf borderId="5" fillId="2" fontId="1" numFmtId="0" xfId="0" applyAlignment="1" applyBorder="1" applyFont="1">
      <alignment horizontal="left" shrinkToFit="0" vertical="top" wrapText="1"/>
    </xf>
    <xf borderId="9" fillId="6" fontId="7" numFmtId="0" xfId="0" applyAlignment="1" applyBorder="1" applyFill="1" applyFont="1">
      <alignment horizontal="center" vertical="top"/>
    </xf>
    <xf borderId="0" fillId="0" fontId="6" numFmtId="0" xfId="0" applyAlignment="1" applyFont="1">
      <alignment readingOrder="0"/>
    </xf>
    <xf borderId="0" fillId="0" fontId="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Burndown Chart – Sprint 5</a:t>
            </a:r>
          </a:p>
        </c:rich>
      </c:tx>
      <c:overlay val="0"/>
    </c:title>
    <c:plotArea>
      <c:layout/>
      <c:lineChart>
        <c:ser>
          <c:idx val="0"/>
          <c:order val="0"/>
          <c:tx>
            <c:strRef>
              <c:f>'Gráfico'!$C$3</c:f>
            </c:strRef>
          </c:tx>
          <c:spPr>
            <a:ln cmpd="sng">
              <a:solidFill>
                <a:srgbClr val="4F81BD"/>
              </a:solidFill>
            </a:ln>
          </c:spPr>
          <c:marker>
            <c:symbol val="none"/>
          </c:marker>
          <c:cat>
            <c:strRef>
              <c:f>'Gráfico'!$B$4:$B$14</c:f>
            </c:strRef>
          </c:cat>
          <c:val>
            <c:numRef>
              <c:f>'Gráfico'!$C$4:$C$14</c:f>
              <c:numCache/>
            </c:numRef>
          </c:val>
          <c:smooth val="0"/>
        </c:ser>
        <c:ser>
          <c:idx val="1"/>
          <c:order val="1"/>
          <c:tx>
            <c:strRef>
              <c:f>'Gráfico'!$D$3</c:f>
            </c:strRef>
          </c:tx>
          <c:spPr>
            <a:ln cmpd="sng">
              <a:solidFill>
                <a:srgbClr val="C0504D"/>
              </a:solidFill>
            </a:ln>
          </c:spPr>
          <c:marker>
            <c:symbol val="none"/>
          </c:marker>
          <c:cat>
            <c:strRef>
              <c:f>'Gráfico'!$B$4:$B$14</c:f>
            </c:strRef>
          </c:cat>
          <c:val>
            <c:numRef>
              <c:f>'Gráfico'!$D$4:$D$14</c:f>
              <c:numCache/>
            </c:numRef>
          </c:val>
          <c:smooth val="0"/>
        </c:ser>
        <c:axId val="1426784378"/>
        <c:axId val="1448028591"/>
      </c:lineChart>
      <c:catAx>
        <c:axId val="14267843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Día</a:t>
                </a:r>
              </a:p>
            </c:rich>
          </c:tx>
          <c:overlay val="0"/>
        </c:title>
        <c:numFmt formatCode="General" sourceLinked="1"/>
        <c:majorTickMark val="none"/>
        <c:minorTickMark val="none"/>
        <c:spPr/>
        <c:txPr>
          <a:bodyPr/>
          <a:lstStyle/>
          <a:p>
            <a:pPr lvl="0">
              <a:defRPr b="0">
                <a:solidFill>
                  <a:srgbClr val="000000"/>
                </a:solidFill>
                <a:latin typeface="+mn-lt"/>
              </a:defRPr>
            </a:pPr>
          </a:p>
        </c:txPr>
        <c:crossAx val="1448028591"/>
      </c:catAx>
      <c:valAx>
        <c:axId val="1448028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6784378"/>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xdr:row>
      <xdr:rowOff>9525</xdr:rowOff>
    </xdr:from>
    <xdr:ext cx="5715000" cy="3533775"/>
    <xdr:graphicFrame>
      <xdr:nvGraphicFramePr>
        <xdr:cNvPr id="329720086"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29.86"/>
    <col customWidth="1" min="4" max="4" width="23.14"/>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1"/>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t="s">
        <v>32</v>
      </c>
      <c r="C6" s="11" t="s">
        <v>33</v>
      </c>
      <c r="D6" s="11" t="s">
        <v>34</v>
      </c>
      <c r="E6" s="11" t="s">
        <v>35</v>
      </c>
      <c r="F6" s="11" t="s">
        <v>36</v>
      </c>
      <c r="G6" s="12">
        <v>4.0</v>
      </c>
      <c r="H6" s="13">
        <v>1.0</v>
      </c>
      <c r="I6" s="13">
        <f t="shared" ref="I6:I21" si="1">G6-H6</f>
        <v>3</v>
      </c>
      <c r="J6" s="14"/>
      <c r="K6" s="13">
        <v>1.0</v>
      </c>
      <c r="L6" s="13">
        <f t="shared" ref="L6:L21" si="2">I6-K6</f>
        <v>2</v>
      </c>
      <c r="M6" s="14"/>
      <c r="N6" s="13">
        <v>1.0</v>
      </c>
      <c r="O6" s="13">
        <f t="shared" ref="O6:O21" si="3">L6-N6</f>
        <v>1</v>
      </c>
      <c r="P6" s="14"/>
      <c r="Q6" s="13">
        <v>1.0</v>
      </c>
      <c r="R6" s="13">
        <f t="shared" ref="R6:R21" si="4">O6-Q6</f>
        <v>0</v>
      </c>
      <c r="S6" s="14"/>
      <c r="T6" s="15">
        <v>0.0</v>
      </c>
      <c r="U6" s="13">
        <f t="shared" ref="U6:U21" si="5">R6-T6</f>
        <v>0</v>
      </c>
      <c r="V6" s="14"/>
      <c r="W6" s="13">
        <v>0.0</v>
      </c>
      <c r="X6" s="13">
        <f t="shared" ref="X6:X21" si="6">U6-W6</f>
        <v>0</v>
      </c>
      <c r="Y6" s="14"/>
      <c r="Z6" s="13"/>
      <c r="AA6" s="13">
        <f t="shared" ref="AA6:AA21" si="7">X6-Z6</f>
        <v>0</v>
      </c>
      <c r="AB6" s="14"/>
      <c r="AC6" s="13"/>
      <c r="AD6" s="13">
        <f t="shared" ref="AD6:AD21" si="8">AA6-AC6</f>
        <v>0</v>
      </c>
      <c r="AE6" s="14"/>
      <c r="AF6" s="13"/>
      <c r="AG6" s="13">
        <f t="shared" ref="AG6:AG21" si="9">AD6-AF6</f>
        <v>0</v>
      </c>
      <c r="AH6" s="14"/>
      <c r="AI6" s="13"/>
      <c r="AJ6" s="13">
        <f t="shared" ref="AJ6:AJ21" si="10">AG6-AI6</f>
        <v>0</v>
      </c>
      <c r="AK6" s="14"/>
      <c r="AL6" s="13"/>
      <c r="AM6" s="13">
        <f t="shared" ref="AM6:AM19" si="11">AJ6-AL6</f>
        <v>0</v>
      </c>
      <c r="AN6" s="14"/>
      <c r="AO6" s="13"/>
      <c r="AP6" s="13">
        <f t="shared" ref="AP6:AP21" si="12">AM6-AO6</f>
        <v>0</v>
      </c>
      <c r="AQ6" s="14"/>
      <c r="AR6" s="13"/>
      <c r="AS6" s="13">
        <f t="shared" ref="AS6:AS21" si="13">AP6-AR6</f>
        <v>0</v>
      </c>
      <c r="AT6" s="14"/>
      <c r="AU6" s="13"/>
      <c r="AV6" s="13">
        <f t="shared" ref="AV6:AV21" si="14">AS6-AU6</f>
        <v>0</v>
      </c>
      <c r="AW6" s="14"/>
      <c r="AX6" s="13"/>
      <c r="AY6" s="13">
        <f t="shared" ref="AY6:AY21" si="15">AV6-AX6</f>
        <v>0</v>
      </c>
      <c r="AZ6" s="14"/>
      <c r="BA6" s="13"/>
      <c r="BB6" s="13">
        <f t="shared" ref="BB6:BB21" si="16">AY6-BA6</f>
        <v>0</v>
      </c>
      <c r="BC6" s="14"/>
      <c r="BD6" s="13"/>
      <c r="BE6" s="13">
        <f t="shared" ref="BE6:BE21" si="17">BB6-BD6</f>
        <v>0</v>
      </c>
      <c r="BF6" s="14"/>
      <c r="BG6" s="13"/>
      <c r="BH6" s="13">
        <f t="shared" ref="BH6:BH21" si="18">BE6-BG6</f>
        <v>0</v>
      </c>
      <c r="BI6" s="14"/>
      <c r="BJ6" s="13"/>
      <c r="BK6" s="13">
        <f t="shared" ref="BK6:BK21" si="19">BH6-BJ6</f>
        <v>0</v>
      </c>
      <c r="BL6" s="14"/>
      <c r="BM6" s="13"/>
      <c r="BN6" s="13">
        <f t="shared" ref="BN6:BN21" si="20">BK6-BM6</f>
        <v>0</v>
      </c>
      <c r="BO6" s="14"/>
      <c r="BP6" s="16">
        <f t="shared" ref="BP6:BP21" si="21">H6+K6+N6+Q6+T6+W6+Z6+AC6+AF6+AI6+AL6+AO6+AR6+AU6+AX6+BA6+BD6+BG6+BJ6+BM6</f>
        <v>4</v>
      </c>
      <c r="BQ6" s="16">
        <f t="shared" ref="BQ6:BQ21" si="22">G6-BP6</f>
        <v>0</v>
      </c>
    </row>
    <row r="7">
      <c r="A7" s="10"/>
      <c r="B7" s="17"/>
      <c r="C7" s="17"/>
      <c r="D7" s="11" t="s">
        <v>37</v>
      </c>
      <c r="E7" s="11" t="s">
        <v>38</v>
      </c>
      <c r="F7" s="11" t="s">
        <v>36</v>
      </c>
      <c r="G7" s="12">
        <v>4.0</v>
      </c>
      <c r="H7" s="13">
        <v>1.0</v>
      </c>
      <c r="I7" s="13">
        <f t="shared" si="1"/>
        <v>3</v>
      </c>
      <c r="J7" s="14"/>
      <c r="K7" s="13">
        <v>1.0</v>
      </c>
      <c r="L7" s="13">
        <f t="shared" si="2"/>
        <v>2</v>
      </c>
      <c r="M7" s="14"/>
      <c r="N7" s="13">
        <v>1.0</v>
      </c>
      <c r="O7" s="13">
        <f t="shared" si="3"/>
        <v>1</v>
      </c>
      <c r="P7" s="14"/>
      <c r="Q7" s="13">
        <v>1.0</v>
      </c>
      <c r="R7" s="13">
        <f t="shared" si="4"/>
        <v>0</v>
      </c>
      <c r="S7" s="14"/>
      <c r="T7" s="13">
        <v>0.0</v>
      </c>
      <c r="U7" s="13">
        <f t="shared" si="5"/>
        <v>0</v>
      </c>
      <c r="V7" s="14"/>
      <c r="W7" s="13">
        <v>0.0</v>
      </c>
      <c r="X7" s="13">
        <f t="shared" si="6"/>
        <v>0</v>
      </c>
      <c r="Y7" s="14"/>
      <c r="Z7" s="13">
        <v>0.0</v>
      </c>
      <c r="AA7" s="13">
        <f t="shared" si="7"/>
        <v>0</v>
      </c>
      <c r="AB7" s="14"/>
      <c r="AC7" s="13">
        <v>0.0</v>
      </c>
      <c r="AD7" s="13">
        <f t="shared" si="8"/>
        <v>0</v>
      </c>
      <c r="AE7" s="14"/>
      <c r="AF7" s="13"/>
      <c r="AG7" s="13">
        <f t="shared" si="9"/>
        <v>0</v>
      </c>
      <c r="AH7" s="14"/>
      <c r="AI7" s="13"/>
      <c r="AJ7" s="13">
        <f t="shared" si="10"/>
        <v>0</v>
      </c>
      <c r="AK7" s="14"/>
      <c r="AL7" s="13"/>
      <c r="AM7" s="13">
        <f t="shared" si="11"/>
        <v>0</v>
      </c>
      <c r="AN7" s="14"/>
      <c r="AO7" s="13"/>
      <c r="AP7" s="13">
        <f t="shared" si="12"/>
        <v>0</v>
      </c>
      <c r="AQ7" s="14"/>
      <c r="AR7" s="13"/>
      <c r="AS7" s="13">
        <f t="shared" si="13"/>
        <v>0</v>
      </c>
      <c r="AT7" s="14"/>
      <c r="AU7" s="13"/>
      <c r="AV7" s="13">
        <f t="shared" si="14"/>
        <v>0</v>
      </c>
      <c r="AW7" s="14"/>
      <c r="AX7" s="13"/>
      <c r="AY7" s="13">
        <f t="shared" si="15"/>
        <v>0</v>
      </c>
      <c r="AZ7" s="14"/>
      <c r="BA7" s="13"/>
      <c r="BB7" s="13">
        <f t="shared" si="16"/>
        <v>0</v>
      </c>
      <c r="BC7" s="14"/>
      <c r="BD7" s="13"/>
      <c r="BE7" s="13">
        <f t="shared" si="17"/>
        <v>0</v>
      </c>
      <c r="BF7" s="14"/>
      <c r="BG7" s="13"/>
      <c r="BH7" s="13">
        <f t="shared" si="18"/>
        <v>0</v>
      </c>
      <c r="BI7" s="14"/>
      <c r="BJ7" s="13"/>
      <c r="BK7" s="13">
        <f t="shared" si="19"/>
        <v>0</v>
      </c>
      <c r="BL7" s="14"/>
      <c r="BM7" s="13"/>
      <c r="BN7" s="13">
        <f t="shared" si="20"/>
        <v>0</v>
      </c>
      <c r="BO7" s="14"/>
      <c r="BP7" s="16">
        <f t="shared" si="21"/>
        <v>4</v>
      </c>
      <c r="BQ7" s="16">
        <f t="shared" si="22"/>
        <v>0</v>
      </c>
    </row>
    <row r="8">
      <c r="A8" s="10"/>
      <c r="B8" s="11" t="s">
        <v>39</v>
      </c>
      <c r="C8" s="11" t="s">
        <v>40</v>
      </c>
      <c r="D8" s="11" t="s">
        <v>41</v>
      </c>
      <c r="E8" s="11" t="s">
        <v>42</v>
      </c>
      <c r="F8" s="11" t="s">
        <v>36</v>
      </c>
      <c r="G8" s="12">
        <v>3.0</v>
      </c>
      <c r="H8" s="13">
        <v>1.0</v>
      </c>
      <c r="I8" s="13">
        <f t="shared" si="1"/>
        <v>2</v>
      </c>
      <c r="J8" s="14"/>
      <c r="K8" s="13">
        <v>1.0</v>
      </c>
      <c r="L8" s="13">
        <f t="shared" si="2"/>
        <v>1</v>
      </c>
      <c r="M8" s="14"/>
      <c r="N8" s="13">
        <v>1.0</v>
      </c>
      <c r="O8" s="13">
        <f t="shared" si="3"/>
        <v>0</v>
      </c>
      <c r="P8" s="14"/>
      <c r="Q8" s="13">
        <v>0.0</v>
      </c>
      <c r="R8" s="13">
        <f t="shared" si="4"/>
        <v>0</v>
      </c>
      <c r="S8" s="14"/>
      <c r="T8" s="13">
        <v>0.0</v>
      </c>
      <c r="U8" s="13">
        <f t="shared" si="5"/>
        <v>0</v>
      </c>
      <c r="V8" s="14"/>
      <c r="W8" s="13">
        <v>0.0</v>
      </c>
      <c r="X8" s="13">
        <f t="shared" si="6"/>
        <v>0</v>
      </c>
      <c r="Y8" s="14"/>
      <c r="Z8" s="13"/>
      <c r="AA8" s="13">
        <f t="shared" si="7"/>
        <v>0</v>
      </c>
      <c r="AB8" s="14"/>
      <c r="AC8" s="13"/>
      <c r="AD8" s="13">
        <f t="shared" si="8"/>
        <v>0</v>
      </c>
      <c r="AE8" s="14"/>
      <c r="AF8" s="13"/>
      <c r="AG8" s="13">
        <f t="shared" si="9"/>
        <v>0</v>
      </c>
      <c r="AH8" s="14"/>
      <c r="AI8" s="13"/>
      <c r="AJ8" s="13">
        <f t="shared" si="10"/>
        <v>0</v>
      </c>
      <c r="AK8" s="14"/>
      <c r="AL8" s="13"/>
      <c r="AM8" s="13">
        <f t="shared" si="11"/>
        <v>0</v>
      </c>
      <c r="AN8" s="14"/>
      <c r="AO8" s="13"/>
      <c r="AP8" s="13">
        <f t="shared" si="12"/>
        <v>0</v>
      </c>
      <c r="AQ8" s="14"/>
      <c r="AR8" s="13"/>
      <c r="AS8" s="13">
        <f t="shared" si="13"/>
        <v>0</v>
      </c>
      <c r="AT8" s="14"/>
      <c r="AU8" s="13"/>
      <c r="AV8" s="13">
        <f t="shared" si="14"/>
        <v>0</v>
      </c>
      <c r="AW8" s="14"/>
      <c r="AX8" s="13"/>
      <c r="AY8" s="13">
        <f t="shared" si="15"/>
        <v>0</v>
      </c>
      <c r="AZ8" s="14"/>
      <c r="BA8" s="13"/>
      <c r="BB8" s="13">
        <f t="shared" si="16"/>
        <v>0</v>
      </c>
      <c r="BC8" s="14"/>
      <c r="BD8" s="13"/>
      <c r="BE8" s="13">
        <f t="shared" si="17"/>
        <v>0</v>
      </c>
      <c r="BF8" s="14"/>
      <c r="BG8" s="13"/>
      <c r="BH8" s="13">
        <f t="shared" si="18"/>
        <v>0</v>
      </c>
      <c r="BI8" s="14"/>
      <c r="BJ8" s="13"/>
      <c r="BK8" s="13">
        <f t="shared" si="19"/>
        <v>0</v>
      </c>
      <c r="BL8" s="14"/>
      <c r="BM8" s="13"/>
      <c r="BN8" s="13">
        <f t="shared" si="20"/>
        <v>0</v>
      </c>
      <c r="BO8" s="14"/>
      <c r="BP8" s="16">
        <f t="shared" si="21"/>
        <v>3</v>
      </c>
      <c r="BQ8" s="16">
        <f t="shared" si="22"/>
        <v>0</v>
      </c>
    </row>
    <row r="9">
      <c r="A9" s="10"/>
      <c r="B9" s="17"/>
      <c r="C9" s="17"/>
      <c r="D9" s="11" t="s">
        <v>43</v>
      </c>
      <c r="E9" s="11" t="s">
        <v>38</v>
      </c>
      <c r="F9" s="11" t="s">
        <v>36</v>
      </c>
      <c r="G9" s="12">
        <v>5.0</v>
      </c>
      <c r="H9" s="13">
        <v>1.0</v>
      </c>
      <c r="I9" s="13">
        <f t="shared" si="1"/>
        <v>4</v>
      </c>
      <c r="J9" s="14"/>
      <c r="K9" s="13">
        <v>1.0</v>
      </c>
      <c r="L9" s="13">
        <f t="shared" si="2"/>
        <v>3</v>
      </c>
      <c r="M9" s="14"/>
      <c r="N9" s="13">
        <v>1.0</v>
      </c>
      <c r="O9" s="13">
        <f t="shared" si="3"/>
        <v>2</v>
      </c>
      <c r="P9" s="14"/>
      <c r="Q9" s="13">
        <v>1.0</v>
      </c>
      <c r="R9" s="13">
        <f t="shared" si="4"/>
        <v>1</v>
      </c>
      <c r="S9" s="14"/>
      <c r="T9" s="13">
        <v>1.0</v>
      </c>
      <c r="U9" s="13">
        <f t="shared" si="5"/>
        <v>0</v>
      </c>
      <c r="V9" s="14"/>
      <c r="W9" s="13"/>
      <c r="X9" s="13">
        <f t="shared" si="6"/>
        <v>0</v>
      </c>
      <c r="Y9" s="14"/>
      <c r="Z9" s="13"/>
      <c r="AA9" s="13">
        <f t="shared" si="7"/>
        <v>0</v>
      </c>
      <c r="AB9" s="14"/>
      <c r="AC9" s="13"/>
      <c r="AD9" s="13">
        <f t="shared" si="8"/>
        <v>0</v>
      </c>
      <c r="AE9" s="14"/>
      <c r="AF9" s="13">
        <v>0.0</v>
      </c>
      <c r="AG9" s="13">
        <f t="shared" si="9"/>
        <v>0</v>
      </c>
      <c r="AH9" s="14"/>
      <c r="AI9" s="13">
        <v>0.0</v>
      </c>
      <c r="AJ9" s="13">
        <f t="shared" si="10"/>
        <v>0</v>
      </c>
      <c r="AK9" s="14"/>
      <c r="AL9" s="13">
        <v>0.0</v>
      </c>
      <c r="AM9" s="13">
        <f t="shared" si="11"/>
        <v>0</v>
      </c>
      <c r="AN9" s="14"/>
      <c r="AO9" s="13">
        <v>0.0</v>
      </c>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6">
        <f t="shared" si="21"/>
        <v>5</v>
      </c>
      <c r="BQ9" s="16">
        <f t="shared" si="22"/>
        <v>0</v>
      </c>
    </row>
    <row r="10">
      <c r="A10" s="10"/>
      <c r="B10" s="17"/>
      <c r="C10" s="17"/>
      <c r="D10" s="11" t="s">
        <v>44</v>
      </c>
      <c r="E10" s="11" t="s">
        <v>35</v>
      </c>
      <c r="F10" s="11" t="s">
        <v>36</v>
      </c>
      <c r="G10" s="12">
        <v>4.0</v>
      </c>
      <c r="H10" s="13">
        <v>1.0</v>
      </c>
      <c r="I10" s="13">
        <f t="shared" si="1"/>
        <v>3</v>
      </c>
      <c r="J10" s="14"/>
      <c r="K10" s="13">
        <v>1.0</v>
      </c>
      <c r="L10" s="13">
        <f t="shared" si="2"/>
        <v>2</v>
      </c>
      <c r="M10" s="14"/>
      <c r="N10" s="13">
        <v>1.0</v>
      </c>
      <c r="O10" s="13">
        <f t="shared" si="3"/>
        <v>1</v>
      </c>
      <c r="P10" s="14"/>
      <c r="Q10" s="13">
        <v>1.0</v>
      </c>
      <c r="R10" s="13">
        <f t="shared" si="4"/>
        <v>0</v>
      </c>
      <c r="S10" s="14"/>
      <c r="T10" s="13">
        <v>0.0</v>
      </c>
      <c r="U10" s="13">
        <f t="shared" si="5"/>
        <v>0</v>
      </c>
      <c r="V10" s="14"/>
      <c r="W10" s="13"/>
      <c r="X10" s="13">
        <f t="shared" si="6"/>
        <v>0</v>
      </c>
      <c r="Y10" s="14"/>
      <c r="Z10" s="13"/>
      <c r="AA10" s="13">
        <f t="shared" si="7"/>
        <v>0</v>
      </c>
      <c r="AB10" s="14"/>
      <c r="AC10" s="13"/>
      <c r="AD10" s="13">
        <f t="shared" si="8"/>
        <v>0</v>
      </c>
      <c r="AE10" s="14"/>
      <c r="AF10" s="13"/>
      <c r="AG10" s="13">
        <f t="shared" si="9"/>
        <v>0</v>
      </c>
      <c r="AH10" s="14"/>
      <c r="AI10" s="13"/>
      <c r="AJ10" s="13">
        <f t="shared" si="10"/>
        <v>0</v>
      </c>
      <c r="AK10" s="14"/>
      <c r="AL10" s="13"/>
      <c r="AM10" s="13">
        <f t="shared" si="11"/>
        <v>0</v>
      </c>
      <c r="AN10" s="14"/>
      <c r="AO10" s="13"/>
      <c r="AP10" s="13">
        <f t="shared" si="12"/>
        <v>0</v>
      </c>
      <c r="AQ10" s="14"/>
      <c r="AR10" s="13"/>
      <c r="AS10" s="13">
        <f t="shared" si="13"/>
        <v>0</v>
      </c>
      <c r="AT10" s="14"/>
      <c r="AU10" s="13"/>
      <c r="AV10" s="13">
        <f t="shared" si="14"/>
        <v>0</v>
      </c>
      <c r="AW10" s="14"/>
      <c r="AX10" s="13"/>
      <c r="AY10" s="13">
        <f t="shared" si="15"/>
        <v>0</v>
      </c>
      <c r="AZ10" s="14"/>
      <c r="BA10" s="13"/>
      <c r="BB10" s="13">
        <f t="shared" si="16"/>
        <v>0</v>
      </c>
      <c r="BC10" s="14"/>
      <c r="BD10" s="13"/>
      <c r="BE10" s="13">
        <f t="shared" si="17"/>
        <v>0</v>
      </c>
      <c r="BF10" s="14"/>
      <c r="BG10" s="13"/>
      <c r="BH10" s="13">
        <f t="shared" si="18"/>
        <v>0</v>
      </c>
      <c r="BI10" s="14"/>
      <c r="BJ10" s="13"/>
      <c r="BK10" s="13">
        <f t="shared" si="19"/>
        <v>0</v>
      </c>
      <c r="BL10" s="14"/>
      <c r="BM10" s="13"/>
      <c r="BN10" s="13">
        <f t="shared" si="20"/>
        <v>0</v>
      </c>
      <c r="BO10" s="14"/>
      <c r="BP10" s="16">
        <f t="shared" si="21"/>
        <v>4</v>
      </c>
      <c r="BQ10" s="16">
        <f t="shared" si="22"/>
        <v>0</v>
      </c>
    </row>
    <row r="11">
      <c r="A11" s="10"/>
      <c r="B11" s="11" t="s">
        <v>45</v>
      </c>
      <c r="C11" s="11" t="s">
        <v>46</v>
      </c>
      <c r="D11" s="11" t="s">
        <v>47</v>
      </c>
      <c r="E11" s="11" t="s">
        <v>35</v>
      </c>
      <c r="F11" s="11" t="s">
        <v>36</v>
      </c>
      <c r="G11" s="12">
        <v>3.0</v>
      </c>
      <c r="H11" s="13">
        <v>1.0</v>
      </c>
      <c r="I11" s="13">
        <f t="shared" si="1"/>
        <v>2</v>
      </c>
      <c r="J11" s="14"/>
      <c r="K11" s="13">
        <v>1.0</v>
      </c>
      <c r="L11" s="13">
        <f t="shared" si="2"/>
        <v>1</v>
      </c>
      <c r="M11" s="14"/>
      <c r="N11" s="13">
        <v>1.0</v>
      </c>
      <c r="O11" s="13">
        <f t="shared" si="3"/>
        <v>0</v>
      </c>
      <c r="P11" s="14"/>
      <c r="Q11" s="15">
        <v>0.0</v>
      </c>
      <c r="R11" s="13">
        <f t="shared" si="4"/>
        <v>0</v>
      </c>
      <c r="S11" s="14"/>
      <c r="T11" s="13">
        <v>0.0</v>
      </c>
      <c r="U11" s="13">
        <f t="shared" si="5"/>
        <v>0</v>
      </c>
      <c r="V11" s="14"/>
      <c r="W11" s="13">
        <v>0.0</v>
      </c>
      <c r="X11" s="13">
        <f t="shared" si="6"/>
        <v>0</v>
      </c>
      <c r="Y11" s="14"/>
      <c r="Z11" s="13">
        <v>0.0</v>
      </c>
      <c r="AA11" s="13">
        <f t="shared" si="7"/>
        <v>0</v>
      </c>
      <c r="AB11" s="14"/>
      <c r="AC11" s="13">
        <v>0.0</v>
      </c>
      <c r="AD11" s="13">
        <f t="shared" si="8"/>
        <v>0</v>
      </c>
      <c r="AE11" s="14"/>
      <c r="AF11" s="13"/>
      <c r="AG11" s="13">
        <f t="shared" si="9"/>
        <v>0</v>
      </c>
      <c r="AH11" s="14"/>
      <c r="AI11" s="13"/>
      <c r="AJ11" s="13">
        <f t="shared" si="10"/>
        <v>0</v>
      </c>
      <c r="AK11" s="14"/>
      <c r="AL11" s="13"/>
      <c r="AM11" s="13">
        <f t="shared" si="11"/>
        <v>0</v>
      </c>
      <c r="AN11" s="14"/>
      <c r="AO11" s="13"/>
      <c r="AP11" s="13">
        <f t="shared" si="12"/>
        <v>0</v>
      </c>
      <c r="AQ11" s="14"/>
      <c r="AR11" s="13"/>
      <c r="AS11" s="13">
        <f t="shared" si="13"/>
        <v>0</v>
      </c>
      <c r="AT11" s="14"/>
      <c r="AU11" s="13"/>
      <c r="AV11" s="13">
        <f t="shared" si="14"/>
        <v>0</v>
      </c>
      <c r="AW11" s="14"/>
      <c r="AX11" s="13"/>
      <c r="AY11" s="13">
        <f t="shared" si="15"/>
        <v>0</v>
      </c>
      <c r="AZ11" s="14"/>
      <c r="BA11" s="13"/>
      <c r="BB11" s="13">
        <f t="shared" si="16"/>
        <v>0</v>
      </c>
      <c r="BC11" s="14"/>
      <c r="BD11" s="13"/>
      <c r="BE11" s="13">
        <f t="shared" si="17"/>
        <v>0</v>
      </c>
      <c r="BF11" s="14"/>
      <c r="BG11" s="13"/>
      <c r="BH11" s="13">
        <f t="shared" si="18"/>
        <v>0</v>
      </c>
      <c r="BI11" s="14"/>
      <c r="BJ11" s="13"/>
      <c r="BK11" s="13">
        <f t="shared" si="19"/>
        <v>0</v>
      </c>
      <c r="BL11" s="14"/>
      <c r="BM11" s="13"/>
      <c r="BN11" s="13">
        <f t="shared" si="20"/>
        <v>0</v>
      </c>
      <c r="BO11" s="14"/>
      <c r="BP11" s="16">
        <f t="shared" si="21"/>
        <v>3</v>
      </c>
      <c r="BQ11" s="16">
        <f t="shared" si="22"/>
        <v>0</v>
      </c>
    </row>
    <row r="12">
      <c r="A12" s="10"/>
      <c r="B12" s="17"/>
      <c r="C12" s="17"/>
      <c r="D12" s="11" t="s">
        <v>48</v>
      </c>
      <c r="E12" s="11" t="s">
        <v>38</v>
      </c>
      <c r="F12" s="11" t="s">
        <v>36</v>
      </c>
      <c r="G12" s="12">
        <v>5.0</v>
      </c>
      <c r="H12" s="13">
        <v>1.0</v>
      </c>
      <c r="I12" s="13">
        <f t="shared" si="1"/>
        <v>4</v>
      </c>
      <c r="J12" s="14"/>
      <c r="K12" s="13">
        <v>1.0</v>
      </c>
      <c r="L12" s="13">
        <f t="shared" si="2"/>
        <v>3</v>
      </c>
      <c r="M12" s="14"/>
      <c r="N12" s="13">
        <v>1.0</v>
      </c>
      <c r="O12" s="13">
        <f t="shared" si="3"/>
        <v>2</v>
      </c>
      <c r="P12" s="14"/>
      <c r="Q12" s="15">
        <v>1.0</v>
      </c>
      <c r="R12" s="13">
        <f t="shared" si="4"/>
        <v>1</v>
      </c>
      <c r="S12" s="14"/>
      <c r="T12" s="15">
        <v>1.0</v>
      </c>
      <c r="U12" s="13">
        <f t="shared" si="5"/>
        <v>0</v>
      </c>
      <c r="V12" s="14"/>
      <c r="W12" s="13"/>
      <c r="X12" s="13">
        <f t="shared" si="6"/>
        <v>0</v>
      </c>
      <c r="Y12" s="14"/>
      <c r="Z12" s="13"/>
      <c r="AA12" s="13">
        <f t="shared" si="7"/>
        <v>0</v>
      </c>
      <c r="AB12" s="14"/>
      <c r="AC12" s="13"/>
      <c r="AD12" s="13">
        <f t="shared" si="8"/>
        <v>0</v>
      </c>
      <c r="AE12" s="14"/>
      <c r="AF12" s="13"/>
      <c r="AG12" s="13">
        <f t="shared" si="9"/>
        <v>0</v>
      </c>
      <c r="AH12" s="14"/>
      <c r="AI12" s="13"/>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6">
        <f t="shared" si="21"/>
        <v>5</v>
      </c>
      <c r="BQ12" s="16">
        <f t="shared" si="22"/>
        <v>0</v>
      </c>
    </row>
    <row r="13">
      <c r="A13" s="10"/>
      <c r="B13" s="11" t="s">
        <v>49</v>
      </c>
      <c r="C13" s="11" t="s">
        <v>50</v>
      </c>
      <c r="D13" s="11" t="s">
        <v>51</v>
      </c>
      <c r="E13" s="11" t="s">
        <v>35</v>
      </c>
      <c r="F13" s="11" t="s">
        <v>36</v>
      </c>
      <c r="G13" s="12">
        <v>5.0</v>
      </c>
      <c r="H13" s="13">
        <v>1.0</v>
      </c>
      <c r="I13" s="13">
        <f t="shared" si="1"/>
        <v>4</v>
      </c>
      <c r="J13" s="14"/>
      <c r="K13" s="13">
        <v>1.0</v>
      </c>
      <c r="L13" s="13">
        <f t="shared" si="2"/>
        <v>3</v>
      </c>
      <c r="M13" s="14"/>
      <c r="N13" s="13">
        <v>1.0</v>
      </c>
      <c r="O13" s="13">
        <f t="shared" si="3"/>
        <v>2</v>
      </c>
      <c r="P13" s="14"/>
      <c r="Q13" s="13">
        <v>1.0</v>
      </c>
      <c r="R13" s="13">
        <f t="shared" si="4"/>
        <v>1</v>
      </c>
      <c r="S13" s="14"/>
      <c r="T13" s="15">
        <v>1.0</v>
      </c>
      <c r="U13" s="13">
        <f t="shared" si="5"/>
        <v>0</v>
      </c>
      <c r="V13" s="14"/>
      <c r="W13" s="13"/>
      <c r="X13" s="13">
        <f t="shared" si="6"/>
        <v>0</v>
      </c>
      <c r="Y13" s="14"/>
      <c r="Z13" s="13"/>
      <c r="AA13" s="13">
        <f t="shared" si="7"/>
        <v>0</v>
      </c>
      <c r="AB13" s="14"/>
      <c r="AC13" s="13"/>
      <c r="AD13" s="13">
        <f t="shared" si="8"/>
        <v>0</v>
      </c>
      <c r="AE13" s="14"/>
      <c r="AF13" s="13">
        <v>0.0</v>
      </c>
      <c r="AG13" s="13">
        <f t="shared" si="9"/>
        <v>0</v>
      </c>
      <c r="AH13" s="14"/>
      <c r="AI13" s="13">
        <v>0.0</v>
      </c>
      <c r="AJ13" s="13">
        <f t="shared" si="10"/>
        <v>0</v>
      </c>
      <c r="AK13" s="14"/>
      <c r="AL13" s="13">
        <v>0.0</v>
      </c>
      <c r="AM13" s="13">
        <f t="shared" si="11"/>
        <v>0</v>
      </c>
      <c r="AN13" s="14"/>
      <c r="AO13" s="13">
        <v>0.0</v>
      </c>
      <c r="AP13" s="13">
        <f t="shared" si="12"/>
        <v>0</v>
      </c>
      <c r="AQ13" s="14"/>
      <c r="AR13" s="13"/>
      <c r="AS13" s="13">
        <f t="shared" si="13"/>
        <v>0</v>
      </c>
      <c r="AT13" s="14"/>
      <c r="AU13" s="13"/>
      <c r="AV13" s="13">
        <f t="shared" si="14"/>
        <v>0</v>
      </c>
      <c r="AW13" s="14"/>
      <c r="AX13" s="13"/>
      <c r="AY13" s="13">
        <f t="shared" si="15"/>
        <v>0</v>
      </c>
      <c r="AZ13" s="14"/>
      <c r="BA13" s="13"/>
      <c r="BB13" s="13">
        <f t="shared" si="16"/>
        <v>0</v>
      </c>
      <c r="BC13" s="14"/>
      <c r="BD13" s="13"/>
      <c r="BE13" s="13">
        <f t="shared" si="17"/>
        <v>0</v>
      </c>
      <c r="BF13" s="14"/>
      <c r="BG13" s="13"/>
      <c r="BH13" s="13">
        <f t="shared" si="18"/>
        <v>0</v>
      </c>
      <c r="BI13" s="14"/>
      <c r="BJ13" s="13"/>
      <c r="BK13" s="13">
        <f t="shared" si="19"/>
        <v>0</v>
      </c>
      <c r="BL13" s="14"/>
      <c r="BM13" s="13"/>
      <c r="BN13" s="13">
        <f t="shared" si="20"/>
        <v>0</v>
      </c>
      <c r="BO13" s="14"/>
      <c r="BP13" s="16">
        <f t="shared" si="21"/>
        <v>5</v>
      </c>
      <c r="BQ13" s="16">
        <f t="shared" si="22"/>
        <v>0</v>
      </c>
    </row>
    <row r="14">
      <c r="A14" s="10"/>
      <c r="B14" s="17"/>
      <c r="C14" s="17"/>
      <c r="D14" s="11" t="s">
        <v>52</v>
      </c>
      <c r="E14" s="11" t="s">
        <v>38</v>
      </c>
      <c r="F14" s="11" t="s">
        <v>36</v>
      </c>
      <c r="G14" s="12">
        <v>5.0</v>
      </c>
      <c r="H14" s="13">
        <v>1.0</v>
      </c>
      <c r="I14" s="13">
        <f t="shared" si="1"/>
        <v>4</v>
      </c>
      <c r="J14" s="14"/>
      <c r="K14" s="13">
        <v>1.0</v>
      </c>
      <c r="L14" s="13">
        <f t="shared" si="2"/>
        <v>3</v>
      </c>
      <c r="M14" s="14"/>
      <c r="N14" s="13">
        <v>1.0</v>
      </c>
      <c r="O14" s="13">
        <f t="shared" si="3"/>
        <v>2</v>
      </c>
      <c r="P14" s="14"/>
      <c r="Q14" s="13">
        <v>1.0</v>
      </c>
      <c r="R14" s="13">
        <f t="shared" si="4"/>
        <v>1</v>
      </c>
      <c r="S14" s="14"/>
      <c r="T14" s="13">
        <v>1.0</v>
      </c>
      <c r="U14" s="13">
        <f t="shared" si="5"/>
        <v>0</v>
      </c>
      <c r="V14" s="14"/>
      <c r="W14" s="13"/>
      <c r="X14" s="13">
        <f t="shared" si="6"/>
        <v>0</v>
      </c>
      <c r="Y14" s="14"/>
      <c r="Z14" s="13"/>
      <c r="AA14" s="13">
        <f t="shared" si="7"/>
        <v>0</v>
      </c>
      <c r="AB14" s="14"/>
      <c r="AC14" s="13"/>
      <c r="AD14" s="13">
        <f t="shared" si="8"/>
        <v>0</v>
      </c>
      <c r="AE14" s="14"/>
      <c r="AF14" s="13"/>
      <c r="AG14" s="13">
        <f t="shared" si="9"/>
        <v>0</v>
      </c>
      <c r="AH14" s="14"/>
      <c r="AI14" s="13"/>
      <c r="AJ14" s="13">
        <f t="shared" si="10"/>
        <v>0</v>
      </c>
      <c r="AK14" s="14"/>
      <c r="AL14" s="13"/>
      <c r="AM14" s="13">
        <f t="shared" si="11"/>
        <v>0</v>
      </c>
      <c r="AN14" s="14"/>
      <c r="AO14" s="13"/>
      <c r="AP14" s="13">
        <f t="shared" si="12"/>
        <v>0</v>
      </c>
      <c r="AQ14" s="14"/>
      <c r="AR14" s="13"/>
      <c r="AS14" s="13">
        <f t="shared" si="13"/>
        <v>0</v>
      </c>
      <c r="AT14" s="14"/>
      <c r="AU14" s="13"/>
      <c r="AV14" s="13">
        <f t="shared" si="14"/>
        <v>0</v>
      </c>
      <c r="AW14" s="14"/>
      <c r="AX14" s="13"/>
      <c r="AY14" s="13">
        <f t="shared" si="15"/>
        <v>0</v>
      </c>
      <c r="AZ14" s="14"/>
      <c r="BA14" s="13"/>
      <c r="BB14" s="13">
        <f t="shared" si="16"/>
        <v>0</v>
      </c>
      <c r="BC14" s="14"/>
      <c r="BD14" s="13"/>
      <c r="BE14" s="13">
        <f t="shared" si="17"/>
        <v>0</v>
      </c>
      <c r="BF14" s="14"/>
      <c r="BG14" s="13"/>
      <c r="BH14" s="13">
        <f t="shared" si="18"/>
        <v>0</v>
      </c>
      <c r="BI14" s="14"/>
      <c r="BJ14" s="13"/>
      <c r="BK14" s="13">
        <f t="shared" si="19"/>
        <v>0</v>
      </c>
      <c r="BL14" s="14"/>
      <c r="BM14" s="13"/>
      <c r="BN14" s="13">
        <f t="shared" si="20"/>
        <v>0</v>
      </c>
      <c r="BO14" s="14"/>
      <c r="BP14" s="16">
        <f t="shared" si="21"/>
        <v>5</v>
      </c>
      <c r="BQ14" s="16">
        <f t="shared" si="22"/>
        <v>0</v>
      </c>
    </row>
    <row r="15">
      <c r="A15" s="10"/>
      <c r="B15" s="11" t="s">
        <v>53</v>
      </c>
      <c r="C15" s="11" t="s">
        <v>54</v>
      </c>
      <c r="D15" s="11" t="s">
        <v>55</v>
      </c>
      <c r="E15" s="11" t="s">
        <v>35</v>
      </c>
      <c r="F15" s="11" t="s">
        <v>36</v>
      </c>
      <c r="G15" s="12">
        <v>4.0</v>
      </c>
      <c r="H15" s="13">
        <v>1.0</v>
      </c>
      <c r="I15" s="13">
        <f t="shared" si="1"/>
        <v>3</v>
      </c>
      <c r="J15" s="14"/>
      <c r="K15" s="13">
        <v>1.0</v>
      </c>
      <c r="L15" s="13">
        <f t="shared" si="2"/>
        <v>2</v>
      </c>
      <c r="M15" s="14"/>
      <c r="N15" s="13">
        <v>1.0</v>
      </c>
      <c r="O15" s="13">
        <f t="shared" si="3"/>
        <v>1</v>
      </c>
      <c r="P15" s="14"/>
      <c r="Q15" s="13">
        <v>1.0</v>
      </c>
      <c r="R15" s="13">
        <f t="shared" si="4"/>
        <v>0</v>
      </c>
      <c r="S15" s="14"/>
      <c r="T15" s="15">
        <v>0.0</v>
      </c>
      <c r="U15" s="13">
        <f t="shared" si="5"/>
        <v>0</v>
      </c>
      <c r="V15" s="14"/>
      <c r="W15" s="13"/>
      <c r="X15" s="13">
        <f t="shared" si="6"/>
        <v>0</v>
      </c>
      <c r="Y15" s="14"/>
      <c r="Z15" s="13"/>
      <c r="AA15" s="13">
        <f t="shared" si="7"/>
        <v>0</v>
      </c>
      <c r="AB15" s="14"/>
      <c r="AC15" s="13"/>
      <c r="AD15" s="13">
        <f t="shared" si="8"/>
        <v>0</v>
      </c>
      <c r="AE15" s="14"/>
      <c r="AF15" s="13"/>
      <c r="AG15" s="13">
        <f t="shared" si="9"/>
        <v>0</v>
      </c>
      <c r="AH15" s="14"/>
      <c r="AI15" s="13"/>
      <c r="AJ15" s="13">
        <f t="shared" si="10"/>
        <v>0</v>
      </c>
      <c r="AK15" s="14"/>
      <c r="AL15" s="13"/>
      <c r="AM15" s="13">
        <f t="shared" si="11"/>
        <v>0</v>
      </c>
      <c r="AN15" s="14"/>
      <c r="AO15" s="13"/>
      <c r="AP15" s="13">
        <f t="shared" si="12"/>
        <v>0</v>
      </c>
      <c r="AQ15" s="14"/>
      <c r="AR15" s="13"/>
      <c r="AS15" s="13">
        <f t="shared" si="13"/>
        <v>0</v>
      </c>
      <c r="AT15" s="14"/>
      <c r="AU15" s="13"/>
      <c r="AV15" s="13">
        <f t="shared" si="14"/>
        <v>0</v>
      </c>
      <c r="AW15" s="14"/>
      <c r="AX15" s="13"/>
      <c r="AY15" s="13">
        <f t="shared" si="15"/>
        <v>0</v>
      </c>
      <c r="AZ15" s="14"/>
      <c r="BA15" s="13"/>
      <c r="BB15" s="13">
        <f t="shared" si="16"/>
        <v>0</v>
      </c>
      <c r="BC15" s="14"/>
      <c r="BD15" s="13"/>
      <c r="BE15" s="13">
        <f t="shared" si="17"/>
        <v>0</v>
      </c>
      <c r="BF15" s="14"/>
      <c r="BG15" s="13"/>
      <c r="BH15" s="13">
        <f t="shared" si="18"/>
        <v>0</v>
      </c>
      <c r="BI15" s="14"/>
      <c r="BJ15" s="13"/>
      <c r="BK15" s="13">
        <f t="shared" si="19"/>
        <v>0</v>
      </c>
      <c r="BL15" s="14"/>
      <c r="BM15" s="13"/>
      <c r="BN15" s="13">
        <f t="shared" si="20"/>
        <v>0</v>
      </c>
      <c r="BO15" s="14"/>
      <c r="BP15" s="16">
        <f t="shared" si="21"/>
        <v>4</v>
      </c>
      <c r="BQ15" s="16">
        <f t="shared" si="22"/>
        <v>0</v>
      </c>
    </row>
    <row r="16">
      <c r="A16" s="10"/>
      <c r="B16" s="17"/>
      <c r="C16" s="17"/>
      <c r="D16" s="11" t="s">
        <v>56</v>
      </c>
      <c r="E16" s="11" t="s">
        <v>38</v>
      </c>
      <c r="F16" s="11" t="s">
        <v>36</v>
      </c>
      <c r="G16" s="12">
        <v>4.0</v>
      </c>
      <c r="H16" s="13">
        <v>1.0</v>
      </c>
      <c r="I16" s="13">
        <f t="shared" si="1"/>
        <v>3</v>
      </c>
      <c r="J16" s="14"/>
      <c r="K16" s="13">
        <v>1.0</v>
      </c>
      <c r="L16" s="13">
        <f t="shared" si="2"/>
        <v>2</v>
      </c>
      <c r="M16" s="14"/>
      <c r="N16" s="13">
        <v>1.0</v>
      </c>
      <c r="O16" s="13">
        <f t="shared" si="3"/>
        <v>1</v>
      </c>
      <c r="P16" s="14"/>
      <c r="Q16" s="13">
        <v>1.0</v>
      </c>
      <c r="R16" s="13">
        <f t="shared" si="4"/>
        <v>0</v>
      </c>
      <c r="S16" s="14"/>
      <c r="T16" s="15">
        <v>0.0</v>
      </c>
      <c r="U16" s="13">
        <f t="shared" si="5"/>
        <v>0</v>
      </c>
      <c r="V16" s="14"/>
      <c r="W16" s="13"/>
      <c r="X16" s="13">
        <f t="shared" si="6"/>
        <v>0</v>
      </c>
      <c r="Y16" s="14"/>
      <c r="Z16" s="13"/>
      <c r="AA16" s="13">
        <f t="shared" si="7"/>
        <v>0</v>
      </c>
      <c r="AB16" s="14"/>
      <c r="AC16" s="13"/>
      <c r="AD16" s="13">
        <f t="shared" si="8"/>
        <v>0</v>
      </c>
      <c r="AE16" s="14"/>
      <c r="AF16" s="13"/>
      <c r="AG16" s="13">
        <f t="shared" si="9"/>
        <v>0</v>
      </c>
      <c r="AH16" s="14"/>
      <c r="AI16" s="13"/>
      <c r="AJ16" s="13">
        <f t="shared" si="10"/>
        <v>0</v>
      </c>
      <c r="AK16" s="14"/>
      <c r="AL16" s="13"/>
      <c r="AM16" s="13">
        <f t="shared" si="11"/>
        <v>0</v>
      </c>
      <c r="AN16" s="14"/>
      <c r="AO16" s="13"/>
      <c r="AP16" s="13">
        <f t="shared" si="12"/>
        <v>0</v>
      </c>
      <c r="AQ16" s="14"/>
      <c r="AR16" s="13"/>
      <c r="AS16" s="13">
        <f t="shared" si="13"/>
        <v>0</v>
      </c>
      <c r="AT16" s="14"/>
      <c r="AU16" s="13"/>
      <c r="AV16" s="13">
        <f t="shared" si="14"/>
        <v>0</v>
      </c>
      <c r="AW16" s="14"/>
      <c r="AX16" s="13"/>
      <c r="AY16" s="13">
        <f t="shared" si="15"/>
        <v>0</v>
      </c>
      <c r="AZ16" s="14"/>
      <c r="BA16" s="13"/>
      <c r="BB16" s="13">
        <f t="shared" si="16"/>
        <v>0</v>
      </c>
      <c r="BC16" s="14"/>
      <c r="BD16" s="13"/>
      <c r="BE16" s="13">
        <f t="shared" si="17"/>
        <v>0</v>
      </c>
      <c r="BF16" s="14"/>
      <c r="BG16" s="13"/>
      <c r="BH16" s="13">
        <f t="shared" si="18"/>
        <v>0</v>
      </c>
      <c r="BI16" s="14"/>
      <c r="BJ16" s="13"/>
      <c r="BK16" s="13">
        <f t="shared" si="19"/>
        <v>0</v>
      </c>
      <c r="BL16" s="14"/>
      <c r="BM16" s="13"/>
      <c r="BN16" s="13">
        <f t="shared" si="20"/>
        <v>0</v>
      </c>
      <c r="BO16" s="14"/>
      <c r="BP16" s="16">
        <f t="shared" si="21"/>
        <v>4</v>
      </c>
      <c r="BQ16" s="16">
        <f t="shared" si="22"/>
        <v>0</v>
      </c>
    </row>
    <row r="17">
      <c r="A17" s="10"/>
      <c r="B17" s="11" t="s">
        <v>57</v>
      </c>
      <c r="C17" s="11" t="s">
        <v>58</v>
      </c>
      <c r="D17" s="11" t="s">
        <v>59</v>
      </c>
      <c r="E17" s="11" t="s">
        <v>38</v>
      </c>
      <c r="F17" s="11" t="s">
        <v>36</v>
      </c>
      <c r="G17" s="12">
        <v>6.0</v>
      </c>
      <c r="H17" s="13">
        <v>1.0</v>
      </c>
      <c r="I17" s="13">
        <f t="shared" si="1"/>
        <v>5</v>
      </c>
      <c r="J17" s="14"/>
      <c r="K17" s="13">
        <v>1.0</v>
      </c>
      <c r="L17" s="13">
        <f t="shared" si="2"/>
        <v>4</v>
      </c>
      <c r="M17" s="14"/>
      <c r="N17" s="13">
        <v>1.0</v>
      </c>
      <c r="O17" s="13">
        <f t="shared" si="3"/>
        <v>3</v>
      </c>
      <c r="P17" s="14"/>
      <c r="Q17" s="13">
        <v>1.0</v>
      </c>
      <c r="R17" s="13">
        <f t="shared" si="4"/>
        <v>2</v>
      </c>
      <c r="S17" s="14"/>
      <c r="T17" s="15">
        <v>1.0</v>
      </c>
      <c r="U17" s="13">
        <f t="shared" si="5"/>
        <v>1</v>
      </c>
      <c r="V17" s="14"/>
      <c r="W17" s="15">
        <v>1.0</v>
      </c>
      <c r="X17" s="13">
        <f t="shared" si="6"/>
        <v>0</v>
      </c>
      <c r="Y17" s="14"/>
      <c r="Z17" s="13"/>
      <c r="AA17" s="13">
        <f t="shared" si="7"/>
        <v>0</v>
      </c>
      <c r="AB17" s="14"/>
      <c r="AC17" s="13"/>
      <c r="AD17" s="13">
        <f t="shared" si="8"/>
        <v>0</v>
      </c>
      <c r="AE17" s="14"/>
      <c r="AF17" s="13"/>
      <c r="AG17" s="13">
        <f t="shared" si="9"/>
        <v>0</v>
      </c>
      <c r="AH17" s="14"/>
      <c r="AI17" s="13"/>
      <c r="AJ17" s="13">
        <f t="shared" si="10"/>
        <v>0</v>
      </c>
      <c r="AK17" s="14"/>
      <c r="AL17" s="13"/>
      <c r="AM17" s="13">
        <f t="shared" si="11"/>
        <v>0</v>
      </c>
      <c r="AN17" s="14"/>
      <c r="AO17" s="13"/>
      <c r="AP17" s="13">
        <f t="shared" si="12"/>
        <v>0</v>
      </c>
      <c r="AQ17" s="14"/>
      <c r="AR17" s="13"/>
      <c r="AS17" s="13">
        <f t="shared" si="13"/>
        <v>0</v>
      </c>
      <c r="AT17" s="14"/>
      <c r="AU17" s="13"/>
      <c r="AV17" s="13">
        <f t="shared" si="14"/>
        <v>0</v>
      </c>
      <c r="AW17" s="14"/>
      <c r="AX17" s="13"/>
      <c r="AY17" s="13">
        <f t="shared" si="15"/>
        <v>0</v>
      </c>
      <c r="AZ17" s="14"/>
      <c r="BA17" s="13"/>
      <c r="BB17" s="13">
        <f t="shared" si="16"/>
        <v>0</v>
      </c>
      <c r="BC17" s="14"/>
      <c r="BD17" s="13"/>
      <c r="BE17" s="13">
        <f t="shared" si="17"/>
        <v>0</v>
      </c>
      <c r="BF17" s="14"/>
      <c r="BG17" s="13"/>
      <c r="BH17" s="13">
        <f t="shared" si="18"/>
        <v>0</v>
      </c>
      <c r="BI17" s="14"/>
      <c r="BJ17" s="13"/>
      <c r="BK17" s="13">
        <f t="shared" si="19"/>
        <v>0</v>
      </c>
      <c r="BL17" s="14"/>
      <c r="BM17" s="13"/>
      <c r="BN17" s="13">
        <f t="shared" si="20"/>
        <v>0</v>
      </c>
      <c r="BO17" s="14"/>
      <c r="BP17" s="16">
        <f t="shared" si="21"/>
        <v>6</v>
      </c>
      <c r="BQ17" s="16">
        <f t="shared" si="22"/>
        <v>0</v>
      </c>
    </row>
    <row r="18">
      <c r="A18" s="10"/>
      <c r="B18" s="17"/>
      <c r="C18" s="17"/>
      <c r="D18" s="11" t="s">
        <v>60</v>
      </c>
      <c r="E18" s="11" t="s">
        <v>35</v>
      </c>
      <c r="F18" s="11" t="s">
        <v>36</v>
      </c>
      <c r="G18" s="12">
        <v>5.0</v>
      </c>
      <c r="H18" s="13">
        <v>1.0</v>
      </c>
      <c r="I18" s="13">
        <f t="shared" si="1"/>
        <v>4</v>
      </c>
      <c r="J18" s="14"/>
      <c r="K18" s="13">
        <v>1.0</v>
      </c>
      <c r="L18" s="13">
        <f t="shared" si="2"/>
        <v>3</v>
      </c>
      <c r="M18" s="14"/>
      <c r="N18" s="13">
        <v>1.0</v>
      </c>
      <c r="O18" s="13">
        <f t="shared" si="3"/>
        <v>2</v>
      </c>
      <c r="P18" s="14"/>
      <c r="Q18" s="13">
        <v>1.0</v>
      </c>
      <c r="R18" s="13">
        <f t="shared" si="4"/>
        <v>1</v>
      </c>
      <c r="S18" s="14"/>
      <c r="T18" s="15">
        <v>1.0</v>
      </c>
      <c r="U18" s="13">
        <f t="shared" si="5"/>
        <v>0</v>
      </c>
      <c r="V18" s="14"/>
      <c r="W18" s="13"/>
      <c r="X18" s="13">
        <f t="shared" si="6"/>
        <v>0</v>
      </c>
      <c r="Y18" s="14"/>
      <c r="Z18" s="13"/>
      <c r="AA18" s="13">
        <f t="shared" si="7"/>
        <v>0</v>
      </c>
      <c r="AB18" s="14"/>
      <c r="AC18" s="13"/>
      <c r="AD18" s="13">
        <f t="shared" si="8"/>
        <v>0</v>
      </c>
      <c r="AE18" s="14"/>
      <c r="AF18" s="13"/>
      <c r="AG18" s="13">
        <f t="shared" si="9"/>
        <v>0</v>
      </c>
      <c r="AH18" s="14"/>
      <c r="AI18" s="13"/>
      <c r="AJ18" s="13">
        <f t="shared" si="10"/>
        <v>0</v>
      </c>
      <c r="AK18" s="14"/>
      <c r="AL18" s="13"/>
      <c r="AM18" s="13">
        <f t="shared" si="11"/>
        <v>0</v>
      </c>
      <c r="AN18" s="14"/>
      <c r="AO18" s="13"/>
      <c r="AP18" s="13">
        <f t="shared" si="12"/>
        <v>0</v>
      </c>
      <c r="AQ18" s="14"/>
      <c r="AR18" s="13"/>
      <c r="AS18" s="13">
        <f t="shared" si="13"/>
        <v>0</v>
      </c>
      <c r="AT18" s="14"/>
      <c r="AU18" s="13"/>
      <c r="AV18" s="13">
        <f t="shared" si="14"/>
        <v>0</v>
      </c>
      <c r="AW18" s="14"/>
      <c r="AX18" s="13"/>
      <c r="AY18" s="13">
        <f t="shared" si="15"/>
        <v>0</v>
      </c>
      <c r="AZ18" s="14"/>
      <c r="BA18" s="13"/>
      <c r="BB18" s="13">
        <f t="shared" si="16"/>
        <v>0</v>
      </c>
      <c r="BC18" s="14"/>
      <c r="BD18" s="13"/>
      <c r="BE18" s="13">
        <f t="shared" si="17"/>
        <v>0</v>
      </c>
      <c r="BF18" s="14"/>
      <c r="BG18" s="13"/>
      <c r="BH18" s="13">
        <f t="shared" si="18"/>
        <v>0</v>
      </c>
      <c r="BI18" s="14"/>
      <c r="BJ18" s="13"/>
      <c r="BK18" s="13">
        <f t="shared" si="19"/>
        <v>0</v>
      </c>
      <c r="BL18" s="14"/>
      <c r="BM18" s="13"/>
      <c r="BN18" s="13">
        <f t="shared" si="20"/>
        <v>0</v>
      </c>
      <c r="BO18" s="14"/>
      <c r="BP18" s="16">
        <f t="shared" si="21"/>
        <v>5</v>
      </c>
      <c r="BQ18" s="16">
        <f t="shared" si="22"/>
        <v>0</v>
      </c>
    </row>
    <row r="19">
      <c r="A19" s="10"/>
      <c r="B19" s="11" t="s">
        <v>61</v>
      </c>
      <c r="C19" s="11" t="s">
        <v>62</v>
      </c>
      <c r="D19" s="11" t="s">
        <v>63</v>
      </c>
      <c r="E19" s="11" t="s">
        <v>38</v>
      </c>
      <c r="F19" s="11" t="s">
        <v>36</v>
      </c>
      <c r="G19" s="12">
        <v>6.0</v>
      </c>
      <c r="H19" s="13">
        <v>1.0</v>
      </c>
      <c r="I19" s="13">
        <f t="shared" si="1"/>
        <v>5</v>
      </c>
      <c r="J19" s="14"/>
      <c r="K19" s="13">
        <v>1.0</v>
      </c>
      <c r="L19" s="13">
        <f t="shared" si="2"/>
        <v>4</v>
      </c>
      <c r="M19" s="14"/>
      <c r="N19" s="13">
        <v>1.0</v>
      </c>
      <c r="O19" s="13">
        <f t="shared" si="3"/>
        <v>3</v>
      </c>
      <c r="P19" s="14"/>
      <c r="Q19" s="15">
        <v>1.0</v>
      </c>
      <c r="R19" s="13">
        <f t="shared" si="4"/>
        <v>2</v>
      </c>
      <c r="S19" s="14"/>
      <c r="T19" s="15">
        <v>1.0</v>
      </c>
      <c r="U19" s="13">
        <f t="shared" si="5"/>
        <v>1</v>
      </c>
      <c r="V19" s="14"/>
      <c r="W19" s="15">
        <v>1.0</v>
      </c>
      <c r="X19" s="13">
        <f t="shared" si="6"/>
        <v>0</v>
      </c>
      <c r="Y19" s="14"/>
      <c r="Z19" s="13"/>
      <c r="AA19" s="13">
        <f t="shared" si="7"/>
        <v>0</v>
      </c>
      <c r="AB19" s="14"/>
      <c r="AC19" s="13"/>
      <c r="AD19" s="13">
        <f t="shared" si="8"/>
        <v>0</v>
      </c>
      <c r="AE19" s="14"/>
      <c r="AF19" s="13"/>
      <c r="AG19" s="13">
        <f t="shared" si="9"/>
        <v>0</v>
      </c>
      <c r="AH19" s="14"/>
      <c r="AI19" s="13"/>
      <c r="AJ19" s="13">
        <f t="shared" si="10"/>
        <v>0</v>
      </c>
      <c r="AK19" s="14"/>
      <c r="AL19" s="13"/>
      <c r="AM19" s="13">
        <f t="shared" si="11"/>
        <v>0</v>
      </c>
      <c r="AN19" s="14"/>
      <c r="AO19" s="13"/>
      <c r="AP19" s="13">
        <f t="shared" si="12"/>
        <v>0</v>
      </c>
      <c r="AQ19" s="14"/>
      <c r="AR19" s="13"/>
      <c r="AS19" s="13">
        <f t="shared" si="13"/>
        <v>0</v>
      </c>
      <c r="AT19" s="14"/>
      <c r="AU19" s="13"/>
      <c r="AV19" s="13">
        <f t="shared" si="14"/>
        <v>0</v>
      </c>
      <c r="AW19" s="14"/>
      <c r="AX19" s="13"/>
      <c r="AY19" s="13">
        <f t="shared" si="15"/>
        <v>0</v>
      </c>
      <c r="AZ19" s="14"/>
      <c r="BA19" s="13"/>
      <c r="BB19" s="13">
        <f t="shared" si="16"/>
        <v>0</v>
      </c>
      <c r="BC19" s="14"/>
      <c r="BD19" s="13"/>
      <c r="BE19" s="13">
        <f t="shared" si="17"/>
        <v>0</v>
      </c>
      <c r="BF19" s="14"/>
      <c r="BG19" s="13"/>
      <c r="BH19" s="13">
        <f t="shared" si="18"/>
        <v>0</v>
      </c>
      <c r="BI19" s="14"/>
      <c r="BJ19" s="13"/>
      <c r="BK19" s="13">
        <f t="shared" si="19"/>
        <v>0</v>
      </c>
      <c r="BL19" s="14"/>
      <c r="BM19" s="13"/>
      <c r="BN19" s="13">
        <f t="shared" si="20"/>
        <v>0</v>
      </c>
      <c r="BO19" s="14"/>
      <c r="BP19" s="16">
        <f t="shared" si="21"/>
        <v>6</v>
      </c>
      <c r="BQ19" s="16">
        <f t="shared" si="22"/>
        <v>0</v>
      </c>
    </row>
    <row r="20">
      <c r="A20" s="10"/>
      <c r="B20" s="11" t="s">
        <v>61</v>
      </c>
      <c r="C20" s="17"/>
      <c r="D20" s="11" t="s">
        <v>64</v>
      </c>
      <c r="E20" s="11" t="s">
        <v>65</v>
      </c>
      <c r="F20" s="11" t="s">
        <v>36</v>
      </c>
      <c r="G20" s="12">
        <v>5.0</v>
      </c>
      <c r="H20" s="13"/>
      <c r="I20" s="13">
        <f t="shared" si="1"/>
        <v>5</v>
      </c>
      <c r="J20" s="14"/>
      <c r="K20" s="13"/>
      <c r="L20" s="13">
        <f t="shared" si="2"/>
        <v>5</v>
      </c>
      <c r="M20" s="14"/>
      <c r="N20" s="13"/>
      <c r="O20" s="13">
        <f t="shared" si="3"/>
        <v>5</v>
      </c>
      <c r="P20" s="14"/>
      <c r="Q20" s="13"/>
      <c r="R20" s="13">
        <f t="shared" si="4"/>
        <v>5</v>
      </c>
      <c r="S20" s="14"/>
      <c r="T20" s="13"/>
      <c r="U20" s="13">
        <f t="shared" si="5"/>
        <v>5</v>
      </c>
      <c r="V20" s="14"/>
      <c r="W20" s="13"/>
      <c r="X20" s="13">
        <f t="shared" si="6"/>
        <v>5</v>
      </c>
      <c r="Y20" s="14"/>
      <c r="Z20" s="15">
        <v>0.0</v>
      </c>
      <c r="AA20" s="13">
        <f t="shared" si="7"/>
        <v>5</v>
      </c>
      <c r="AB20" s="14"/>
      <c r="AC20" s="13">
        <v>1.0</v>
      </c>
      <c r="AD20" s="13">
        <f t="shared" si="8"/>
        <v>4</v>
      </c>
      <c r="AE20" s="14"/>
      <c r="AF20" s="13">
        <v>1.0</v>
      </c>
      <c r="AG20" s="13">
        <f t="shared" si="9"/>
        <v>3</v>
      </c>
      <c r="AH20" s="14"/>
      <c r="AI20" s="13">
        <v>1.0</v>
      </c>
      <c r="AJ20" s="13">
        <f t="shared" si="10"/>
        <v>2</v>
      </c>
      <c r="AK20" s="14"/>
      <c r="AL20" s="13">
        <v>1.0</v>
      </c>
      <c r="AM20" s="13">
        <v>1.0</v>
      </c>
      <c r="AN20" s="14"/>
      <c r="AO20" s="13">
        <v>1.0</v>
      </c>
      <c r="AP20" s="13">
        <f t="shared" si="12"/>
        <v>0</v>
      </c>
      <c r="AQ20" s="14"/>
      <c r="AR20" s="13"/>
      <c r="AS20" s="13">
        <f t="shared" si="13"/>
        <v>0</v>
      </c>
      <c r="AT20" s="14"/>
      <c r="AU20" s="13"/>
      <c r="AV20" s="13">
        <f t="shared" si="14"/>
        <v>0</v>
      </c>
      <c r="AW20" s="14"/>
      <c r="AX20" s="13"/>
      <c r="AY20" s="13">
        <f t="shared" si="15"/>
        <v>0</v>
      </c>
      <c r="AZ20" s="14"/>
      <c r="BA20" s="13"/>
      <c r="BB20" s="13">
        <f t="shared" si="16"/>
        <v>0</v>
      </c>
      <c r="BC20" s="14"/>
      <c r="BD20" s="13"/>
      <c r="BE20" s="13">
        <f t="shared" si="17"/>
        <v>0</v>
      </c>
      <c r="BF20" s="14"/>
      <c r="BG20" s="13"/>
      <c r="BH20" s="13">
        <f t="shared" si="18"/>
        <v>0</v>
      </c>
      <c r="BI20" s="14"/>
      <c r="BJ20" s="13"/>
      <c r="BK20" s="13">
        <f t="shared" si="19"/>
        <v>0</v>
      </c>
      <c r="BL20" s="14"/>
      <c r="BM20" s="13"/>
      <c r="BN20" s="13">
        <f t="shared" si="20"/>
        <v>0</v>
      </c>
      <c r="BO20" s="14"/>
      <c r="BP20" s="16">
        <f t="shared" si="21"/>
        <v>5</v>
      </c>
      <c r="BQ20" s="16">
        <f t="shared" si="22"/>
        <v>0</v>
      </c>
    </row>
    <row r="21" ht="15.75" customHeight="1">
      <c r="A21" s="10"/>
      <c r="B21" s="11" t="s">
        <v>61</v>
      </c>
      <c r="C21" s="17"/>
      <c r="D21" s="11" t="s">
        <v>66</v>
      </c>
      <c r="E21" s="11" t="s">
        <v>67</v>
      </c>
      <c r="F21" s="11" t="s">
        <v>36</v>
      </c>
      <c r="G21" s="12">
        <v>6.0</v>
      </c>
      <c r="H21" s="13"/>
      <c r="I21" s="13">
        <f t="shared" si="1"/>
        <v>6</v>
      </c>
      <c r="J21" s="14"/>
      <c r="K21" s="13"/>
      <c r="L21" s="13">
        <f t="shared" si="2"/>
        <v>6</v>
      </c>
      <c r="M21" s="14"/>
      <c r="N21" s="13"/>
      <c r="O21" s="13">
        <f t="shared" si="3"/>
        <v>6</v>
      </c>
      <c r="P21" s="14"/>
      <c r="Q21" s="13"/>
      <c r="R21" s="13">
        <f t="shared" si="4"/>
        <v>6</v>
      </c>
      <c r="S21" s="14"/>
      <c r="T21" s="13"/>
      <c r="U21" s="13">
        <f t="shared" si="5"/>
        <v>6</v>
      </c>
      <c r="V21" s="14"/>
      <c r="W21" s="13"/>
      <c r="X21" s="13">
        <f t="shared" si="6"/>
        <v>6</v>
      </c>
      <c r="Y21" s="14"/>
      <c r="Z21" s="13">
        <v>1.0</v>
      </c>
      <c r="AA21" s="13">
        <f t="shared" si="7"/>
        <v>5</v>
      </c>
      <c r="AB21" s="14"/>
      <c r="AC21" s="13">
        <v>1.0</v>
      </c>
      <c r="AD21" s="13">
        <f t="shared" si="8"/>
        <v>4</v>
      </c>
      <c r="AE21" s="14"/>
      <c r="AF21" s="13">
        <v>1.0</v>
      </c>
      <c r="AG21" s="13">
        <f t="shared" si="9"/>
        <v>3</v>
      </c>
      <c r="AH21" s="14"/>
      <c r="AI21" s="13">
        <v>1.0</v>
      </c>
      <c r="AJ21" s="13">
        <f t="shared" si="10"/>
        <v>2</v>
      </c>
      <c r="AK21" s="14"/>
      <c r="AL21" s="15">
        <v>1.0</v>
      </c>
      <c r="AM21" s="13">
        <f>AJ21-AL21</f>
        <v>1</v>
      </c>
      <c r="AN21" s="14"/>
      <c r="AO21" s="15">
        <v>1.0</v>
      </c>
      <c r="AP21" s="13">
        <f t="shared" si="12"/>
        <v>0</v>
      </c>
      <c r="AQ21" s="14"/>
      <c r="AR21" s="13"/>
      <c r="AS21" s="13">
        <f t="shared" si="13"/>
        <v>0</v>
      </c>
      <c r="AT21" s="14"/>
      <c r="AU21" s="13"/>
      <c r="AV21" s="13">
        <f t="shared" si="14"/>
        <v>0</v>
      </c>
      <c r="AW21" s="14"/>
      <c r="AX21" s="13"/>
      <c r="AY21" s="13">
        <f t="shared" si="15"/>
        <v>0</v>
      </c>
      <c r="AZ21" s="14"/>
      <c r="BA21" s="13"/>
      <c r="BB21" s="13">
        <f t="shared" si="16"/>
        <v>0</v>
      </c>
      <c r="BC21" s="14"/>
      <c r="BD21" s="13"/>
      <c r="BE21" s="13">
        <f t="shared" si="17"/>
        <v>0</v>
      </c>
      <c r="BF21" s="14"/>
      <c r="BG21" s="13"/>
      <c r="BH21" s="13">
        <f t="shared" si="18"/>
        <v>0</v>
      </c>
      <c r="BI21" s="14"/>
      <c r="BJ21" s="13"/>
      <c r="BK21" s="13">
        <f t="shared" si="19"/>
        <v>0</v>
      </c>
      <c r="BL21" s="14"/>
      <c r="BM21" s="13"/>
      <c r="BN21" s="13">
        <f t="shared" si="20"/>
        <v>0</v>
      </c>
      <c r="BO21" s="14"/>
      <c r="BP21" s="16">
        <f t="shared" si="21"/>
        <v>6</v>
      </c>
      <c r="BQ21" s="16">
        <f t="shared" si="22"/>
        <v>0</v>
      </c>
    </row>
    <row r="22" ht="15.75" customHeight="1">
      <c r="A22" s="10"/>
      <c r="B22" s="18"/>
      <c r="C22" s="18"/>
      <c r="D22" s="18"/>
      <c r="E22" s="18"/>
      <c r="F22" s="18"/>
      <c r="G22" s="18"/>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0"/>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0"/>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0"/>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0"/>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0"/>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0"/>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68</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9" t="s">
        <v>69</v>
      </c>
      <c r="C4" s="19" t="s">
        <v>70</v>
      </c>
      <c r="D4" s="1"/>
      <c r="E4" s="1"/>
      <c r="F4" s="1"/>
      <c r="G4" s="1"/>
      <c r="H4" s="1"/>
      <c r="I4" s="1"/>
      <c r="J4" s="1"/>
      <c r="K4" s="1"/>
      <c r="L4" s="1"/>
      <c r="M4" s="1"/>
      <c r="N4" s="1"/>
      <c r="O4" s="1"/>
      <c r="P4" s="1"/>
      <c r="Q4" s="1"/>
      <c r="R4" s="1"/>
      <c r="S4" s="1"/>
      <c r="T4" s="1"/>
      <c r="U4" s="1"/>
      <c r="V4" s="1"/>
      <c r="W4" s="1"/>
      <c r="X4" s="1"/>
      <c r="Y4" s="1"/>
      <c r="Z4" s="1"/>
    </row>
    <row r="5">
      <c r="A5" s="1"/>
      <c r="B5" s="20" t="str">
        <f>'Historias de Usuario'!B5</f>
        <v>Identificador (ID) de item de product backlog</v>
      </c>
      <c r="C5" s="20" t="s">
        <v>71</v>
      </c>
      <c r="D5" s="1"/>
      <c r="E5" s="1"/>
      <c r="F5" s="1"/>
      <c r="G5" s="1"/>
      <c r="H5" s="1"/>
      <c r="I5" s="1"/>
      <c r="J5" s="1"/>
      <c r="K5" s="1"/>
      <c r="L5" s="1"/>
      <c r="M5" s="1"/>
      <c r="N5" s="1"/>
      <c r="O5" s="1"/>
      <c r="P5" s="1"/>
      <c r="Q5" s="1"/>
      <c r="R5" s="1"/>
      <c r="S5" s="1"/>
      <c r="T5" s="1"/>
      <c r="U5" s="1"/>
      <c r="V5" s="1"/>
      <c r="W5" s="1"/>
      <c r="X5" s="1"/>
      <c r="Y5" s="1"/>
      <c r="Z5" s="1"/>
    </row>
    <row r="6">
      <c r="A6" s="1"/>
      <c r="B6" s="20" t="str">
        <f>'Historias de Usuario'!C5</f>
        <v>Enunciado del item de Product Backlog</v>
      </c>
      <c r="C6" s="20" t="s">
        <v>72</v>
      </c>
      <c r="D6" s="1"/>
      <c r="E6" s="1"/>
      <c r="F6" s="1"/>
      <c r="G6" s="1"/>
      <c r="H6" s="1"/>
      <c r="I6" s="1"/>
      <c r="J6" s="1"/>
      <c r="K6" s="1"/>
      <c r="L6" s="1"/>
      <c r="M6" s="1"/>
      <c r="N6" s="1"/>
      <c r="O6" s="1"/>
      <c r="P6" s="1"/>
      <c r="Q6" s="1"/>
      <c r="R6" s="1"/>
      <c r="S6" s="1"/>
      <c r="T6" s="1"/>
      <c r="U6" s="1"/>
      <c r="V6" s="1"/>
      <c r="W6" s="1"/>
      <c r="X6" s="1"/>
      <c r="Y6" s="1"/>
      <c r="Z6" s="1"/>
    </row>
    <row r="7">
      <c r="A7" s="1"/>
      <c r="B7" s="20" t="s">
        <v>26</v>
      </c>
      <c r="C7" s="20" t="s">
        <v>73</v>
      </c>
      <c r="D7" s="1"/>
      <c r="E7" s="1"/>
      <c r="F7" s="1"/>
      <c r="G7" s="1"/>
      <c r="H7" s="1"/>
      <c r="I7" s="1"/>
      <c r="J7" s="1"/>
      <c r="K7" s="1"/>
      <c r="L7" s="1"/>
      <c r="M7" s="1"/>
      <c r="N7" s="1"/>
      <c r="O7" s="1"/>
      <c r="P7" s="1"/>
      <c r="Q7" s="1"/>
      <c r="R7" s="1"/>
      <c r="S7" s="1"/>
      <c r="T7" s="1"/>
      <c r="U7" s="1"/>
      <c r="V7" s="1"/>
      <c r="W7" s="1"/>
      <c r="X7" s="1"/>
      <c r="Y7" s="1"/>
      <c r="Z7" s="1"/>
    </row>
    <row r="8">
      <c r="A8" s="1"/>
      <c r="B8" s="20" t="s">
        <v>27</v>
      </c>
      <c r="C8" s="20" t="s">
        <v>74</v>
      </c>
      <c r="D8" s="1"/>
      <c r="E8" s="1"/>
      <c r="F8" s="1"/>
      <c r="G8" s="1"/>
      <c r="H8" s="1"/>
      <c r="I8" s="1"/>
      <c r="J8" s="1"/>
      <c r="K8" s="1"/>
      <c r="L8" s="1"/>
      <c r="M8" s="1"/>
      <c r="N8" s="1"/>
      <c r="O8" s="1"/>
      <c r="P8" s="1"/>
      <c r="Q8" s="1"/>
      <c r="R8" s="1"/>
      <c r="S8" s="1"/>
      <c r="T8" s="1"/>
      <c r="U8" s="1"/>
      <c r="V8" s="1"/>
      <c r="W8" s="1"/>
      <c r="X8" s="1"/>
      <c r="Y8" s="1"/>
      <c r="Z8" s="1"/>
    </row>
    <row r="9">
      <c r="A9" s="1"/>
      <c r="B9" s="20" t="s">
        <v>28</v>
      </c>
      <c r="C9" s="20" t="s">
        <v>75</v>
      </c>
      <c r="D9" s="1"/>
      <c r="E9" s="1"/>
      <c r="F9" s="1"/>
      <c r="G9" s="1"/>
      <c r="H9" s="1"/>
      <c r="I9" s="1"/>
      <c r="J9" s="1"/>
      <c r="K9" s="1"/>
      <c r="L9" s="1"/>
      <c r="M9" s="1"/>
      <c r="N9" s="1"/>
      <c r="O9" s="1"/>
      <c r="P9" s="1"/>
      <c r="Q9" s="1"/>
      <c r="R9" s="1"/>
      <c r="S9" s="1"/>
      <c r="T9" s="1"/>
      <c r="U9" s="1"/>
      <c r="V9" s="1"/>
      <c r="W9" s="1"/>
      <c r="X9" s="1"/>
      <c r="Y9" s="1"/>
      <c r="Z9" s="1"/>
    </row>
    <row r="10">
      <c r="A10" s="1"/>
      <c r="B10" s="20" t="s">
        <v>29</v>
      </c>
      <c r="C10" s="20" t="s">
        <v>76</v>
      </c>
      <c r="D10" s="1"/>
      <c r="E10" s="1"/>
      <c r="F10" s="1"/>
      <c r="G10" s="1"/>
      <c r="H10" s="1"/>
      <c r="I10" s="1"/>
      <c r="J10" s="1"/>
      <c r="K10" s="1"/>
      <c r="L10" s="1"/>
      <c r="M10" s="1"/>
      <c r="N10" s="1"/>
      <c r="O10" s="1"/>
      <c r="P10" s="1"/>
      <c r="Q10" s="1"/>
      <c r="R10" s="1"/>
      <c r="S10" s="1"/>
      <c r="T10" s="1"/>
      <c r="U10" s="1"/>
      <c r="V10" s="1"/>
      <c r="W10" s="1"/>
      <c r="X10" s="1"/>
      <c r="Y10" s="1"/>
      <c r="Z10" s="1"/>
    </row>
    <row r="11">
      <c r="A11" s="1"/>
      <c r="B11" s="20" t="s">
        <v>77</v>
      </c>
      <c r="C11" s="20" t="s">
        <v>78</v>
      </c>
      <c r="D11" s="1"/>
      <c r="E11" s="1"/>
      <c r="F11" s="1"/>
      <c r="G11" s="1"/>
      <c r="H11" s="1"/>
      <c r="I11" s="1"/>
      <c r="J11" s="1"/>
      <c r="K11" s="1"/>
      <c r="L11" s="1"/>
      <c r="M11" s="1"/>
      <c r="N11" s="1"/>
      <c r="O11" s="1"/>
      <c r="P11" s="1"/>
      <c r="Q11" s="1"/>
      <c r="R11" s="1"/>
      <c r="S11" s="1"/>
      <c r="T11" s="1"/>
      <c r="U11" s="1"/>
      <c r="V11" s="1"/>
      <c r="W11" s="1"/>
      <c r="X11" s="1"/>
      <c r="Y11" s="1"/>
      <c r="Z11" s="1"/>
    </row>
    <row r="12">
      <c r="A12" s="1"/>
      <c r="B12" s="20" t="s">
        <v>30</v>
      </c>
      <c r="C12" s="20" t="s">
        <v>79</v>
      </c>
      <c r="D12" s="1"/>
      <c r="E12" s="1"/>
      <c r="F12" s="1"/>
      <c r="G12" s="1"/>
      <c r="H12" s="1"/>
      <c r="I12" s="1"/>
      <c r="J12" s="1"/>
      <c r="K12" s="1"/>
      <c r="L12" s="1"/>
      <c r="M12" s="1"/>
      <c r="N12" s="1"/>
      <c r="O12" s="1"/>
      <c r="P12" s="1"/>
      <c r="Q12" s="1"/>
      <c r="R12" s="1"/>
      <c r="S12" s="1"/>
      <c r="T12" s="1"/>
      <c r="U12" s="1"/>
      <c r="V12" s="1"/>
      <c r="W12" s="1"/>
      <c r="X12" s="1"/>
      <c r="Y12" s="1"/>
      <c r="Z12" s="1"/>
    </row>
    <row r="13">
      <c r="A13" s="1"/>
      <c r="B13" s="20" t="s">
        <v>31</v>
      </c>
      <c r="C13" s="20" t="s">
        <v>80</v>
      </c>
      <c r="D13" s="1"/>
      <c r="E13" s="1"/>
      <c r="F13" s="1"/>
      <c r="G13" s="1"/>
      <c r="H13" s="1"/>
      <c r="I13" s="1"/>
      <c r="J13" s="1"/>
      <c r="K13" s="1"/>
      <c r="L13" s="1"/>
      <c r="M13" s="1"/>
      <c r="N13" s="1"/>
      <c r="O13" s="1"/>
      <c r="P13" s="1"/>
      <c r="Q13" s="1"/>
      <c r="R13" s="1"/>
      <c r="S13" s="1"/>
      <c r="T13" s="1"/>
      <c r="U13" s="1"/>
      <c r="V13" s="1"/>
      <c r="W13" s="1"/>
      <c r="X13" s="1"/>
      <c r="Y13" s="1"/>
      <c r="Z13" s="1"/>
    </row>
    <row r="14">
      <c r="A14" s="1"/>
      <c r="B14" s="20" t="s">
        <v>23</v>
      </c>
      <c r="C14" s="20" t="s">
        <v>81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c r="B3" s="21" t="s">
        <v>82</v>
      </c>
      <c r="C3" s="21" t="s">
        <v>83</v>
      </c>
      <c r="D3" s="21" t="s">
        <v>84</v>
      </c>
    </row>
    <row r="4">
      <c r="B4" s="22">
        <v>0.0</v>
      </c>
      <c r="C4" s="22">
        <v>81.0</v>
      </c>
      <c r="D4" s="22">
        <v>81.0</v>
      </c>
    </row>
    <row r="5">
      <c r="B5" s="22">
        <v>1.0</v>
      </c>
      <c r="C5" s="22">
        <v>74.0</v>
      </c>
      <c r="D5" s="22">
        <v>79.0</v>
      </c>
    </row>
    <row r="6">
      <c r="B6" s="22">
        <v>2.0</v>
      </c>
      <c r="C6" s="22">
        <v>67.0</v>
      </c>
      <c r="D6" s="22">
        <v>75.0</v>
      </c>
    </row>
    <row r="7">
      <c r="B7" s="22">
        <v>3.0</v>
      </c>
      <c r="C7" s="22">
        <v>60.0</v>
      </c>
      <c r="D7" s="22">
        <v>70.0</v>
      </c>
    </row>
    <row r="8">
      <c r="B8" s="22">
        <v>4.0</v>
      </c>
      <c r="C8" s="22">
        <v>53.0</v>
      </c>
      <c r="D8" s="22">
        <v>63.0</v>
      </c>
    </row>
    <row r="9">
      <c r="B9" s="22">
        <v>5.0</v>
      </c>
      <c r="C9" s="22">
        <v>46.0</v>
      </c>
      <c r="D9" s="22">
        <v>57.0</v>
      </c>
    </row>
    <row r="10">
      <c r="B10" s="22">
        <v>6.0</v>
      </c>
      <c r="C10" s="22">
        <v>39.0</v>
      </c>
      <c r="D10" s="22">
        <v>48.0</v>
      </c>
    </row>
    <row r="11">
      <c r="B11" s="22">
        <v>7.0</v>
      </c>
      <c r="C11" s="22">
        <v>32.0</v>
      </c>
      <c r="D11" s="22">
        <v>38.0</v>
      </c>
    </row>
    <row r="12">
      <c r="B12" s="22">
        <v>8.0</v>
      </c>
      <c r="C12" s="22">
        <v>25.0</v>
      </c>
      <c r="D12" s="22">
        <v>28.0</v>
      </c>
    </row>
    <row r="13">
      <c r="B13" s="22">
        <v>9.0</v>
      </c>
      <c r="C13" s="22">
        <v>18.0</v>
      </c>
      <c r="D13" s="22">
        <v>20.0</v>
      </c>
    </row>
    <row r="14">
      <c r="B14" s="22">
        <v>10.0</v>
      </c>
      <c r="C14" s="22">
        <v>0.0</v>
      </c>
      <c r="D14" s="22">
        <v>0.0</v>
      </c>
    </row>
    <row r="17">
      <c r="B17" s="23" t="s">
        <v>85</v>
      </c>
    </row>
  </sheetData>
  <mergeCells count="1">
    <mergeCell ref="B17:D3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