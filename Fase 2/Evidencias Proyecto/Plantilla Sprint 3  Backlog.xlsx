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oKw9VH/O9vIUOktT7vrJywyiQ7BOujyiFuj32fIj2L8="/>
    </ext>
  </extLst>
</workbook>
</file>

<file path=xl/sharedStrings.xml><?xml version="1.0" encoding="utf-8"?>
<sst xmlns="http://schemas.openxmlformats.org/spreadsheetml/2006/main" count="158" uniqueCount="82">
  <si>
    <t>Metodologías ágiles: Lista de tareas de la iteración</t>
  </si>
  <si>
    <t>(Sprint 3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</si>
  <si>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</si>
  <si>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</si>
  <si>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</si>
  <si>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</si>
  <si>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</si>
  <si>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</si>
  <si>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</si>
  <si>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</si>
  <si>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</si>
  <si>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</si>
  <si>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</si>
  <si>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</si>
  <si>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</si>
  <si>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</si>
  <si>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</si>
  <si>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</si>
  <si>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</si>
  <si>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</si>
  <si>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</si>
  <si>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</si>
  <si>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</si>
  <si>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</si>
  <si>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</si>
  <si>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</si>
  <si>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</si>
  <si>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</si>
  <si>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</si>
  <si>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</si>
  <si>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</si>
  <si>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</si>
  <si>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HU-17</t>
  </si>
  <si>
    <t>Hub de pagos y cobros</t>
  </si>
  <si>
    <t>Diseñar pantalla central pagos</t>
  </si>
  <si>
    <t>UX/UI</t>
  </si>
  <si>
    <t>Pendiente</t>
  </si>
  <si>
    <t>Integrar navegación desde perfil</t>
  </si>
  <si>
    <t>Dev FE</t>
  </si>
  <si>
    <t>HU-18</t>
  </si>
  <si>
    <t>Agregar tarjeta</t>
  </si>
  <si>
    <t>Diseñar formulario agregar tarjeta</t>
  </si>
  <si>
    <t>Integrar SDK Transbank OneClick</t>
  </si>
  <si>
    <t>Dev BE</t>
  </si>
  <si>
    <t>Validar front datos tarjeta</t>
  </si>
  <si>
    <t>HU-19</t>
  </si>
  <si>
    <t>Eliminar tarjeta</t>
  </si>
  <si>
    <t>Modal confirmación eliminar tarjeta</t>
  </si>
  <si>
    <t>Endpoint DELETE tarjeta en pasarela</t>
  </si>
  <si>
    <t>HU-20</t>
  </si>
  <si>
    <t>Mis pagos</t>
  </si>
  <si>
    <t>Pantalla listado pagos</t>
  </si>
  <si>
    <t>Endpoint GET /payments</t>
  </si>
  <si>
    <t>HU-21</t>
  </si>
  <si>
    <t>Listado cuentas bancarias</t>
  </si>
  <si>
    <t>Pantalla listado cuentas</t>
  </si>
  <si>
    <t>Endpoint GET /bank-accounts</t>
  </si>
  <si>
    <t>HU-22</t>
  </si>
  <si>
    <t>Agregar cuenta bancaria</t>
  </si>
  <si>
    <t>Formulario agregar cuenta</t>
  </si>
  <si>
    <t>Endpoint POST /bank-accounts</t>
  </si>
  <si>
    <t>HU-23</t>
  </si>
  <si>
    <t>Editar cuenta bancaria</t>
  </si>
  <si>
    <t>Modal editar (predeterminado/eliminar)</t>
  </si>
  <si>
    <t>HU-24</t>
  </si>
  <si>
    <t>Eliminar cuenta bancaria</t>
  </si>
  <si>
    <t>Modal confirmación eliminar</t>
  </si>
  <si>
    <t>Endpoint DELETE /bank-accounts/{id}</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</si>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</sst>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2" fontId="1" numFmtId="0" xfId="0" applyBorder="1" applyFont="1"/>
    <xf borderId="5" fillId="0" fontId="6" numFmtId="0" xfId="0" applyAlignment="1" applyBorder="1" applyFont="1">
      <alignment readingOrder="0"/>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0" fontId="6" numFmtId="0" xfId="0" applyBorder="1" applyFont="1"/>
    <xf borderId="8" fillId="2" fontId="1"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29.86"/>
    <col customWidth="1" min="4" max="4" width="23.14"/>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32</v>
      </c>
      <c r="C6" s="11" t="s">
        <v>33</v>
      </c>
      <c r="D6" s="11" t="s">
        <v>34</v>
      </c>
      <c r="E6" s="11" t="s">
        <v>35</v>
      </c>
      <c r="F6" s="11" t="s">
        <v>36</v>
      </c>
      <c r="G6" s="11">
        <v>4.0</v>
      </c>
      <c r="H6" s="12">
        <v>1.0</v>
      </c>
      <c r="I6" s="12">
        <f t="shared" ref="I6:I21" si="1">G6-H6</f>
        <v>3</v>
      </c>
      <c r="J6" s="13"/>
      <c r="K6" s="12">
        <v>1.0</v>
      </c>
      <c r="L6" s="12">
        <f t="shared" ref="L6:L21" si="2">I6-K6</f>
        <v>2</v>
      </c>
      <c r="M6" s="13"/>
      <c r="N6" s="12">
        <v>1.0</v>
      </c>
      <c r="O6" s="12">
        <f t="shared" ref="O6:O21" si="3">L6-N6</f>
        <v>1</v>
      </c>
      <c r="P6" s="13"/>
      <c r="Q6" s="12">
        <v>1.0</v>
      </c>
      <c r="R6" s="12">
        <f t="shared" ref="R6:R21" si="4">O6-Q6</f>
        <v>0</v>
      </c>
      <c r="S6" s="13"/>
      <c r="T6" s="14">
        <v>0.0</v>
      </c>
      <c r="U6" s="12">
        <f t="shared" ref="U6:U21" si="5">R6-T6</f>
        <v>0</v>
      </c>
      <c r="V6" s="13"/>
      <c r="W6" s="12">
        <v>0.0</v>
      </c>
      <c r="X6" s="12">
        <f t="shared" ref="X6:X21" si="6">U6-W6</f>
        <v>0</v>
      </c>
      <c r="Y6" s="13"/>
      <c r="Z6" s="12"/>
      <c r="AA6" s="12">
        <f t="shared" ref="AA6:AA21" si="7">X6-Z6</f>
        <v>0</v>
      </c>
      <c r="AB6" s="13"/>
      <c r="AC6" s="12"/>
      <c r="AD6" s="12">
        <f t="shared" ref="AD6:AD21" si="8">AA6-AC6</f>
        <v>0</v>
      </c>
      <c r="AE6" s="13"/>
      <c r="AF6" s="12"/>
      <c r="AG6" s="12">
        <f t="shared" ref="AG6:AG21" si="9">AD6-AF6</f>
        <v>0</v>
      </c>
      <c r="AH6" s="13"/>
      <c r="AI6" s="12"/>
      <c r="AJ6" s="12">
        <f t="shared" ref="AJ6:AJ21" si="10">AG6-AI6</f>
        <v>0</v>
      </c>
      <c r="AK6" s="13"/>
      <c r="AL6" s="12"/>
      <c r="AM6" s="12">
        <f t="shared" ref="AM6:AM19" si="11">AJ6-AL6</f>
        <v>0</v>
      </c>
      <c r="AN6" s="13"/>
      <c r="AO6" s="12"/>
      <c r="AP6" s="12">
        <f t="shared" ref="AP6:AP21" si="12">AM6-AO6</f>
        <v>0</v>
      </c>
      <c r="AQ6" s="13"/>
      <c r="AR6" s="12"/>
      <c r="AS6" s="12">
        <f t="shared" ref="AS6:AS21" si="13">AP6-AR6</f>
        <v>0</v>
      </c>
      <c r="AT6" s="13"/>
      <c r="AU6" s="12"/>
      <c r="AV6" s="12">
        <f t="shared" ref="AV6:AV21" si="14">AS6-AU6</f>
        <v>0</v>
      </c>
      <c r="AW6" s="13"/>
      <c r="AX6" s="12"/>
      <c r="AY6" s="12">
        <f t="shared" ref="AY6:AY21" si="15">AV6-AX6</f>
        <v>0</v>
      </c>
      <c r="AZ6" s="13"/>
      <c r="BA6" s="12"/>
      <c r="BB6" s="12">
        <f t="shared" ref="BB6:BB21" si="16">AY6-BA6</f>
        <v>0</v>
      </c>
      <c r="BC6" s="13"/>
      <c r="BD6" s="12"/>
      <c r="BE6" s="12">
        <f t="shared" ref="BE6:BE21" si="17">BB6-BD6</f>
        <v>0</v>
      </c>
      <c r="BF6" s="13"/>
      <c r="BG6" s="12"/>
      <c r="BH6" s="12">
        <f t="shared" ref="BH6:BH21" si="18">BE6-BG6</f>
        <v>0</v>
      </c>
      <c r="BI6" s="13"/>
      <c r="BJ6" s="12"/>
      <c r="BK6" s="12">
        <f t="shared" ref="BK6:BK21" si="19">BH6-BJ6</f>
        <v>0</v>
      </c>
      <c r="BL6" s="13"/>
      <c r="BM6" s="12"/>
      <c r="BN6" s="12">
        <f t="shared" ref="BN6:BN21" si="20">BK6-BM6</f>
        <v>0</v>
      </c>
      <c r="BO6" s="13"/>
      <c r="BP6" s="15">
        <f t="shared" ref="BP6:BP21" si="21">H6+K6+N6+Q6+T6+W6+Z6+AC6+AF6+AI6+AL6+AO6+AR6+AU6+AX6+BA6+BD6+BG6+BJ6+BM6</f>
        <v>4</v>
      </c>
      <c r="BQ6" s="15">
        <f t="shared" ref="BQ6:BQ21" si="22">G6-BP6</f>
        <v>0</v>
      </c>
    </row>
    <row r="7">
      <c r="A7" s="10"/>
      <c r="B7" s="16"/>
      <c r="C7" s="16"/>
      <c r="D7" s="11" t="s">
        <v>37</v>
      </c>
      <c r="E7" s="11" t="s">
        <v>38</v>
      </c>
      <c r="F7" s="11" t="s">
        <v>36</v>
      </c>
      <c r="G7" s="11">
        <v>3.0</v>
      </c>
      <c r="H7" s="12">
        <v>1.0</v>
      </c>
      <c r="I7" s="12">
        <f t="shared" si="1"/>
        <v>2</v>
      </c>
      <c r="J7" s="13"/>
      <c r="K7" s="12">
        <v>1.0</v>
      </c>
      <c r="L7" s="12">
        <f t="shared" si="2"/>
        <v>1</v>
      </c>
      <c r="M7" s="13"/>
      <c r="N7" s="12">
        <v>1.0</v>
      </c>
      <c r="O7" s="12">
        <f t="shared" si="3"/>
        <v>0</v>
      </c>
      <c r="P7" s="13"/>
      <c r="Q7" s="14">
        <v>0.0</v>
      </c>
      <c r="R7" s="12">
        <f t="shared" si="4"/>
        <v>0</v>
      </c>
      <c r="S7" s="13"/>
      <c r="T7" s="12">
        <v>0.0</v>
      </c>
      <c r="U7" s="12">
        <f t="shared" si="5"/>
        <v>0</v>
      </c>
      <c r="V7" s="13"/>
      <c r="W7" s="12">
        <v>0.0</v>
      </c>
      <c r="X7" s="12">
        <f t="shared" si="6"/>
        <v>0</v>
      </c>
      <c r="Y7" s="13"/>
      <c r="Z7" s="12">
        <v>0.0</v>
      </c>
      <c r="AA7" s="12">
        <f t="shared" si="7"/>
        <v>0</v>
      </c>
      <c r="AB7" s="13"/>
      <c r="AC7" s="12">
        <v>0.0</v>
      </c>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5">
        <f t="shared" si="21"/>
        <v>3</v>
      </c>
      <c r="BQ7" s="15">
        <f t="shared" si="22"/>
        <v>0</v>
      </c>
    </row>
    <row r="8">
      <c r="A8" s="10"/>
      <c r="B8" s="11" t="s">
        <v>39</v>
      </c>
      <c r="C8" s="11" t="s">
        <v>40</v>
      </c>
      <c r="D8" s="11" t="s">
        <v>41</v>
      </c>
      <c r="E8" s="11" t="s">
        <v>35</v>
      </c>
      <c r="F8" s="11" t="s">
        <v>36</v>
      </c>
      <c r="G8" s="11">
        <v>3.0</v>
      </c>
      <c r="H8" s="12">
        <v>1.0</v>
      </c>
      <c r="I8" s="12">
        <f t="shared" si="1"/>
        <v>2</v>
      </c>
      <c r="J8" s="13"/>
      <c r="K8" s="12">
        <v>1.0</v>
      </c>
      <c r="L8" s="12">
        <f t="shared" si="2"/>
        <v>1</v>
      </c>
      <c r="M8" s="13"/>
      <c r="N8" s="12">
        <v>1.0</v>
      </c>
      <c r="O8" s="12">
        <f t="shared" si="3"/>
        <v>0</v>
      </c>
      <c r="P8" s="13"/>
      <c r="Q8" s="12">
        <v>0.0</v>
      </c>
      <c r="R8" s="12">
        <f t="shared" si="4"/>
        <v>0</v>
      </c>
      <c r="S8" s="13"/>
      <c r="T8" s="12">
        <v>0.0</v>
      </c>
      <c r="U8" s="12">
        <f t="shared" si="5"/>
        <v>0</v>
      </c>
      <c r="V8" s="13"/>
      <c r="W8" s="12">
        <v>0.0</v>
      </c>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5">
        <f t="shared" si="21"/>
        <v>3</v>
      </c>
      <c r="BQ8" s="15">
        <f t="shared" si="22"/>
        <v>0</v>
      </c>
    </row>
    <row r="9">
      <c r="A9" s="10"/>
      <c r="B9" s="16"/>
      <c r="C9" s="16"/>
      <c r="D9" s="11" t="s">
        <v>42</v>
      </c>
      <c r="E9" s="11" t="s">
        <v>43</v>
      </c>
      <c r="F9" s="11" t="s">
        <v>36</v>
      </c>
      <c r="G9" s="11">
        <v>8.0</v>
      </c>
      <c r="H9" s="12">
        <v>1.0</v>
      </c>
      <c r="I9" s="12">
        <f t="shared" si="1"/>
        <v>7</v>
      </c>
      <c r="J9" s="13"/>
      <c r="K9" s="12">
        <v>1.0</v>
      </c>
      <c r="L9" s="12">
        <f t="shared" si="2"/>
        <v>6</v>
      </c>
      <c r="M9" s="13"/>
      <c r="N9" s="12">
        <v>1.0</v>
      </c>
      <c r="O9" s="12">
        <f t="shared" si="3"/>
        <v>5</v>
      </c>
      <c r="P9" s="13"/>
      <c r="Q9" s="12">
        <v>1.0</v>
      </c>
      <c r="R9" s="12">
        <f t="shared" si="4"/>
        <v>4</v>
      </c>
      <c r="S9" s="13"/>
      <c r="T9" s="12">
        <v>1.0</v>
      </c>
      <c r="U9" s="12">
        <f t="shared" si="5"/>
        <v>3</v>
      </c>
      <c r="V9" s="13"/>
      <c r="W9" s="14">
        <v>1.0</v>
      </c>
      <c r="X9" s="12">
        <f t="shared" si="6"/>
        <v>2</v>
      </c>
      <c r="Y9" s="13"/>
      <c r="Z9" s="14">
        <v>1.0</v>
      </c>
      <c r="AA9" s="12">
        <f t="shared" si="7"/>
        <v>1</v>
      </c>
      <c r="AB9" s="13"/>
      <c r="AC9" s="14">
        <v>1.0</v>
      </c>
      <c r="AD9" s="12">
        <f t="shared" si="8"/>
        <v>0</v>
      </c>
      <c r="AE9" s="13"/>
      <c r="AF9" s="12">
        <v>0.0</v>
      </c>
      <c r="AG9" s="12">
        <f t="shared" si="9"/>
        <v>0</v>
      </c>
      <c r="AH9" s="13"/>
      <c r="AI9" s="12">
        <v>0.0</v>
      </c>
      <c r="AJ9" s="12">
        <f t="shared" si="10"/>
        <v>0</v>
      </c>
      <c r="AK9" s="13"/>
      <c r="AL9" s="12">
        <v>0.0</v>
      </c>
      <c r="AM9" s="12">
        <f t="shared" si="11"/>
        <v>0</v>
      </c>
      <c r="AN9" s="13"/>
      <c r="AO9" s="12">
        <v>0.0</v>
      </c>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5">
        <f t="shared" si="21"/>
        <v>8</v>
      </c>
      <c r="BQ9" s="15">
        <f t="shared" si="22"/>
        <v>0</v>
      </c>
    </row>
    <row r="10">
      <c r="A10" s="10"/>
      <c r="B10" s="16"/>
      <c r="C10" s="16"/>
      <c r="D10" s="11" t="s">
        <v>44</v>
      </c>
      <c r="E10" s="11" t="s">
        <v>38</v>
      </c>
      <c r="F10" s="11" t="s">
        <v>36</v>
      </c>
      <c r="G10" s="11">
        <v>4.0</v>
      </c>
      <c r="H10" s="12">
        <v>1.0</v>
      </c>
      <c r="I10" s="12">
        <f t="shared" si="1"/>
        <v>3</v>
      </c>
      <c r="J10" s="13"/>
      <c r="K10" s="12">
        <v>1.0</v>
      </c>
      <c r="L10" s="12">
        <f t="shared" si="2"/>
        <v>2</v>
      </c>
      <c r="M10" s="13"/>
      <c r="N10" s="12">
        <v>1.0</v>
      </c>
      <c r="O10" s="12">
        <f t="shared" si="3"/>
        <v>1</v>
      </c>
      <c r="P10" s="13"/>
      <c r="Q10" s="12">
        <v>1.0</v>
      </c>
      <c r="R10" s="12">
        <f t="shared" si="4"/>
        <v>0</v>
      </c>
      <c r="S10" s="13"/>
      <c r="T10" s="12">
        <v>0.0</v>
      </c>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5">
        <f t="shared" si="21"/>
        <v>4</v>
      </c>
      <c r="BQ10" s="15">
        <f t="shared" si="22"/>
        <v>0</v>
      </c>
    </row>
    <row r="11">
      <c r="A11" s="10"/>
      <c r="B11" s="11" t="s">
        <v>45</v>
      </c>
      <c r="C11" s="11" t="s">
        <v>46</v>
      </c>
      <c r="D11" s="11" t="s">
        <v>47</v>
      </c>
      <c r="E11" s="11" t="s">
        <v>35</v>
      </c>
      <c r="F11" s="11" t="s">
        <v>36</v>
      </c>
      <c r="G11" s="11">
        <v>3.0</v>
      </c>
      <c r="H11" s="12">
        <v>1.0</v>
      </c>
      <c r="I11" s="12">
        <f t="shared" si="1"/>
        <v>2</v>
      </c>
      <c r="J11" s="13"/>
      <c r="K11" s="12">
        <v>1.0</v>
      </c>
      <c r="L11" s="12">
        <f t="shared" si="2"/>
        <v>1</v>
      </c>
      <c r="M11" s="13"/>
      <c r="N11" s="12">
        <v>1.0</v>
      </c>
      <c r="O11" s="12">
        <f t="shared" si="3"/>
        <v>0</v>
      </c>
      <c r="P11" s="13"/>
      <c r="Q11" s="14">
        <v>0.0</v>
      </c>
      <c r="R11" s="12">
        <f t="shared" si="4"/>
        <v>0</v>
      </c>
      <c r="S11" s="13"/>
      <c r="T11" s="12">
        <v>0.0</v>
      </c>
      <c r="U11" s="12">
        <f t="shared" si="5"/>
        <v>0</v>
      </c>
      <c r="V11" s="13"/>
      <c r="W11" s="12">
        <v>0.0</v>
      </c>
      <c r="X11" s="12">
        <f t="shared" si="6"/>
        <v>0</v>
      </c>
      <c r="Y11" s="13"/>
      <c r="Z11" s="12">
        <v>0.0</v>
      </c>
      <c r="AA11" s="12">
        <f t="shared" si="7"/>
        <v>0</v>
      </c>
      <c r="AB11" s="13"/>
      <c r="AC11" s="12">
        <v>0.0</v>
      </c>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5">
        <f t="shared" si="21"/>
        <v>3</v>
      </c>
      <c r="BQ11" s="15">
        <f t="shared" si="22"/>
        <v>0</v>
      </c>
    </row>
    <row r="12">
      <c r="A12" s="10"/>
      <c r="B12" s="16"/>
      <c r="C12" s="16"/>
      <c r="D12" s="11" t="s">
        <v>48</v>
      </c>
      <c r="E12" s="11" t="s">
        <v>43</v>
      </c>
      <c r="F12" s="11" t="s">
        <v>36</v>
      </c>
      <c r="G12" s="11">
        <v>5.0</v>
      </c>
      <c r="H12" s="12">
        <v>1.0</v>
      </c>
      <c r="I12" s="12">
        <f t="shared" si="1"/>
        <v>4</v>
      </c>
      <c r="J12" s="13"/>
      <c r="K12" s="12">
        <v>1.0</v>
      </c>
      <c r="L12" s="12">
        <f t="shared" si="2"/>
        <v>3</v>
      </c>
      <c r="M12" s="13"/>
      <c r="N12" s="12">
        <v>1.0</v>
      </c>
      <c r="O12" s="12">
        <f t="shared" si="3"/>
        <v>2</v>
      </c>
      <c r="P12" s="13"/>
      <c r="Q12" s="14">
        <v>1.0</v>
      </c>
      <c r="R12" s="12">
        <f t="shared" si="4"/>
        <v>1</v>
      </c>
      <c r="S12" s="13"/>
      <c r="T12" s="14">
        <v>1.0</v>
      </c>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5">
        <f t="shared" si="21"/>
        <v>5</v>
      </c>
      <c r="BQ12" s="15">
        <f t="shared" si="22"/>
        <v>0</v>
      </c>
    </row>
    <row r="13">
      <c r="A13" s="10"/>
      <c r="B13" s="11" t="s">
        <v>49</v>
      </c>
      <c r="C13" s="11" t="s">
        <v>50</v>
      </c>
      <c r="D13" s="11" t="s">
        <v>51</v>
      </c>
      <c r="E13" s="11" t="s">
        <v>38</v>
      </c>
      <c r="F13" s="11" t="s">
        <v>36</v>
      </c>
      <c r="G13" s="11">
        <v>5.0</v>
      </c>
      <c r="H13" s="12">
        <v>1.0</v>
      </c>
      <c r="I13" s="12">
        <f t="shared" si="1"/>
        <v>4</v>
      </c>
      <c r="J13" s="13"/>
      <c r="K13" s="12">
        <v>1.0</v>
      </c>
      <c r="L13" s="12">
        <f t="shared" si="2"/>
        <v>3</v>
      </c>
      <c r="M13" s="13"/>
      <c r="N13" s="12">
        <v>1.0</v>
      </c>
      <c r="O13" s="12">
        <f t="shared" si="3"/>
        <v>2</v>
      </c>
      <c r="P13" s="13"/>
      <c r="Q13" s="12">
        <v>1.0</v>
      </c>
      <c r="R13" s="12">
        <f t="shared" si="4"/>
        <v>1</v>
      </c>
      <c r="S13" s="13"/>
      <c r="T13" s="14">
        <v>1.0</v>
      </c>
      <c r="U13" s="12">
        <f t="shared" si="5"/>
        <v>0</v>
      </c>
      <c r="V13" s="13"/>
      <c r="W13" s="12"/>
      <c r="X13" s="12">
        <f t="shared" si="6"/>
        <v>0</v>
      </c>
      <c r="Y13" s="13"/>
      <c r="Z13" s="12"/>
      <c r="AA13" s="12">
        <f t="shared" si="7"/>
        <v>0</v>
      </c>
      <c r="AB13" s="13"/>
      <c r="AC13" s="12"/>
      <c r="AD13" s="12">
        <f t="shared" si="8"/>
        <v>0</v>
      </c>
      <c r="AE13" s="13"/>
      <c r="AF13" s="12">
        <v>0.0</v>
      </c>
      <c r="AG13" s="12">
        <f t="shared" si="9"/>
        <v>0</v>
      </c>
      <c r="AH13" s="13"/>
      <c r="AI13" s="12">
        <v>0.0</v>
      </c>
      <c r="AJ13" s="12">
        <f t="shared" si="10"/>
        <v>0</v>
      </c>
      <c r="AK13" s="13"/>
      <c r="AL13" s="12">
        <v>0.0</v>
      </c>
      <c r="AM13" s="12">
        <f t="shared" si="11"/>
        <v>0</v>
      </c>
      <c r="AN13" s="13"/>
      <c r="AO13" s="12">
        <v>0.0</v>
      </c>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5">
        <f t="shared" si="21"/>
        <v>5</v>
      </c>
      <c r="BQ13" s="15">
        <f t="shared" si="22"/>
        <v>0</v>
      </c>
    </row>
    <row r="14">
      <c r="A14" s="10"/>
      <c r="B14" s="16"/>
      <c r="C14" s="16"/>
      <c r="D14" s="11" t="s">
        <v>52</v>
      </c>
      <c r="E14" s="11" t="s">
        <v>43</v>
      </c>
      <c r="F14" s="11" t="s">
        <v>36</v>
      </c>
      <c r="G14" s="11">
        <v>5.0</v>
      </c>
      <c r="H14" s="12">
        <v>1.0</v>
      </c>
      <c r="I14" s="12">
        <f t="shared" si="1"/>
        <v>4</v>
      </c>
      <c r="J14" s="13"/>
      <c r="K14" s="12">
        <v>1.0</v>
      </c>
      <c r="L14" s="12">
        <f t="shared" si="2"/>
        <v>3</v>
      </c>
      <c r="M14" s="13"/>
      <c r="N14" s="12">
        <v>1.0</v>
      </c>
      <c r="O14" s="12">
        <f t="shared" si="3"/>
        <v>2</v>
      </c>
      <c r="P14" s="13"/>
      <c r="Q14" s="12">
        <v>1.0</v>
      </c>
      <c r="R14" s="12">
        <f t="shared" si="4"/>
        <v>1</v>
      </c>
      <c r="S14" s="13"/>
      <c r="T14" s="12">
        <v>1.0</v>
      </c>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5">
        <f t="shared" si="21"/>
        <v>5</v>
      </c>
      <c r="BQ14" s="15">
        <f t="shared" si="22"/>
        <v>0</v>
      </c>
    </row>
    <row r="15">
      <c r="A15" s="10"/>
      <c r="B15" s="11" t="s">
        <v>53</v>
      </c>
      <c r="C15" s="11" t="s">
        <v>54</v>
      </c>
      <c r="D15" s="11" t="s">
        <v>55</v>
      </c>
      <c r="E15" s="11" t="s">
        <v>38</v>
      </c>
      <c r="F15" s="11" t="s">
        <v>36</v>
      </c>
      <c r="G15" s="11">
        <v>4.0</v>
      </c>
      <c r="H15" s="12">
        <v>1.0</v>
      </c>
      <c r="I15" s="12">
        <f t="shared" si="1"/>
        <v>3</v>
      </c>
      <c r="J15" s="13"/>
      <c r="K15" s="12">
        <v>1.0</v>
      </c>
      <c r="L15" s="12">
        <f t="shared" si="2"/>
        <v>2</v>
      </c>
      <c r="M15" s="13"/>
      <c r="N15" s="12">
        <v>1.0</v>
      </c>
      <c r="O15" s="12">
        <f t="shared" si="3"/>
        <v>1</v>
      </c>
      <c r="P15" s="13"/>
      <c r="Q15" s="12">
        <v>1.0</v>
      </c>
      <c r="R15" s="12">
        <f t="shared" si="4"/>
        <v>0</v>
      </c>
      <c r="S15" s="13"/>
      <c r="T15" s="14">
        <v>0.0</v>
      </c>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5">
        <f t="shared" si="21"/>
        <v>4</v>
      </c>
      <c r="BQ15" s="15">
        <f t="shared" si="22"/>
        <v>0</v>
      </c>
    </row>
    <row r="16">
      <c r="A16" s="10"/>
      <c r="B16" s="16"/>
      <c r="C16" s="16"/>
      <c r="D16" s="11" t="s">
        <v>56</v>
      </c>
      <c r="E16" s="11" t="s">
        <v>43</v>
      </c>
      <c r="F16" s="11" t="s">
        <v>36</v>
      </c>
      <c r="G16" s="11">
        <v>4.0</v>
      </c>
      <c r="H16" s="12">
        <v>1.0</v>
      </c>
      <c r="I16" s="12">
        <f t="shared" si="1"/>
        <v>3</v>
      </c>
      <c r="J16" s="13"/>
      <c r="K16" s="12">
        <v>1.0</v>
      </c>
      <c r="L16" s="12">
        <f t="shared" si="2"/>
        <v>2</v>
      </c>
      <c r="M16" s="13"/>
      <c r="N16" s="12">
        <v>1.0</v>
      </c>
      <c r="O16" s="12">
        <f t="shared" si="3"/>
        <v>1</v>
      </c>
      <c r="P16" s="13"/>
      <c r="Q16" s="12">
        <v>1.0</v>
      </c>
      <c r="R16" s="12">
        <f t="shared" si="4"/>
        <v>0</v>
      </c>
      <c r="S16" s="13"/>
      <c r="T16" s="14">
        <v>0.0</v>
      </c>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5">
        <f t="shared" si="21"/>
        <v>4</v>
      </c>
      <c r="BQ16" s="15">
        <f t="shared" si="22"/>
        <v>0</v>
      </c>
    </row>
    <row r="17">
      <c r="A17" s="10"/>
      <c r="B17" s="11" t="s">
        <v>57</v>
      </c>
      <c r="C17" s="11" t="s">
        <v>58</v>
      </c>
      <c r="D17" s="11" t="s">
        <v>59</v>
      </c>
      <c r="E17" s="11" t="s">
        <v>35</v>
      </c>
      <c r="F17" s="11" t="s">
        <v>36</v>
      </c>
      <c r="G17" s="11">
        <v>3.0</v>
      </c>
      <c r="H17" s="12">
        <v>1.0</v>
      </c>
      <c r="I17" s="12">
        <f t="shared" si="1"/>
        <v>2</v>
      </c>
      <c r="J17" s="13"/>
      <c r="K17" s="12">
        <v>1.0</v>
      </c>
      <c r="L17" s="12">
        <f t="shared" si="2"/>
        <v>1</v>
      </c>
      <c r="M17" s="13"/>
      <c r="N17" s="12">
        <v>1.0</v>
      </c>
      <c r="O17" s="12">
        <f t="shared" si="3"/>
        <v>0</v>
      </c>
      <c r="P17" s="13"/>
      <c r="Q17" s="14">
        <v>0.0</v>
      </c>
      <c r="R17" s="12">
        <f t="shared" si="4"/>
        <v>0</v>
      </c>
      <c r="S17" s="13"/>
      <c r="T17" s="12">
        <v>0.0</v>
      </c>
      <c r="U17" s="12">
        <f t="shared" si="5"/>
        <v>0</v>
      </c>
      <c r="V17" s="13"/>
      <c r="W17" s="12">
        <v>0.0</v>
      </c>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5">
        <f t="shared" si="21"/>
        <v>3</v>
      </c>
      <c r="BQ17" s="15">
        <f t="shared" si="22"/>
        <v>0</v>
      </c>
    </row>
    <row r="18">
      <c r="A18" s="10"/>
      <c r="B18" s="16"/>
      <c r="C18" s="16"/>
      <c r="D18" s="11" t="s">
        <v>60</v>
      </c>
      <c r="E18" s="11" t="s">
        <v>43</v>
      </c>
      <c r="F18" s="11" t="s">
        <v>36</v>
      </c>
      <c r="G18" s="11">
        <v>5.0</v>
      </c>
      <c r="H18" s="12">
        <v>1.0</v>
      </c>
      <c r="I18" s="12">
        <f t="shared" si="1"/>
        <v>4</v>
      </c>
      <c r="J18" s="13"/>
      <c r="K18" s="12">
        <v>1.0</v>
      </c>
      <c r="L18" s="12">
        <f t="shared" si="2"/>
        <v>3</v>
      </c>
      <c r="M18" s="13"/>
      <c r="N18" s="12">
        <v>1.0</v>
      </c>
      <c r="O18" s="12">
        <f t="shared" si="3"/>
        <v>2</v>
      </c>
      <c r="P18" s="13"/>
      <c r="Q18" s="12">
        <v>1.0</v>
      </c>
      <c r="R18" s="12">
        <f t="shared" si="4"/>
        <v>1</v>
      </c>
      <c r="S18" s="13"/>
      <c r="T18" s="14">
        <v>1.0</v>
      </c>
      <c r="U18" s="12">
        <f t="shared" si="5"/>
        <v>0</v>
      </c>
      <c r="V18" s="13"/>
      <c r="W18" s="12"/>
      <c r="X18" s="12">
        <f t="shared" si="6"/>
        <v>0</v>
      </c>
      <c r="Y18" s="13"/>
      <c r="Z18" s="12"/>
      <c r="AA18" s="12">
        <f t="shared" si="7"/>
        <v>0</v>
      </c>
      <c r="AB18" s="13"/>
      <c r="AC18" s="12"/>
      <c r="AD18" s="12">
        <f t="shared" si="8"/>
        <v>0</v>
      </c>
      <c r="AE18" s="13"/>
      <c r="AF18" s="12"/>
      <c r="AG18" s="12">
        <f t="shared" si="9"/>
        <v>0</v>
      </c>
      <c r="AH18" s="13"/>
      <c r="AI18" s="12"/>
      <c r="AJ18" s="12">
        <f t="shared" si="10"/>
        <v>0</v>
      </c>
      <c r="AK18" s="13"/>
      <c r="AL18" s="12"/>
      <c r="AM18" s="12">
        <f t="shared" si="11"/>
        <v>0</v>
      </c>
      <c r="AN18" s="13"/>
      <c r="AO18" s="12"/>
      <c r="AP18" s="12">
        <f t="shared" si="12"/>
        <v>0</v>
      </c>
      <c r="AQ18" s="13"/>
      <c r="AR18" s="12"/>
      <c r="AS18" s="12">
        <f t="shared" si="13"/>
        <v>0</v>
      </c>
      <c r="AT18" s="13"/>
      <c r="AU18" s="12"/>
      <c r="AV18" s="12">
        <f t="shared" si="14"/>
        <v>0</v>
      </c>
      <c r="AW18" s="13"/>
      <c r="AX18" s="12"/>
      <c r="AY18" s="12">
        <f t="shared" si="15"/>
        <v>0</v>
      </c>
      <c r="AZ18" s="13"/>
      <c r="BA18" s="12"/>
      <c r="BB18" s="12">
        <f t="shared" si="16"/>
        <v>0</v>
      </c>
      <c r="BC18" s="13"/>
      <c r="BD18" s="12"/>
      <c r="BE18" s="12">
        <f t="shared" si="17"/>
        <v>0</v>
      </c>
      <c r="BF18" s="13"/>
      <c r="BG18" s="12"/>
      <c r="BH18" s="12">
        <f t="shared" si="18"/>
        <v>0</v>
      </c>
      <c r="BI18" s="13"/>
      <c r="BJ18" s="12"/>
      <c r="BK18" s="12">
        <f t="shared" si="19"/>
        <v>0</v>
      </c>
      <c r="BL18" s="13"/>
      <c r="BM18" s="12"/>
      <c r="BN18" s="12">
        <f t="shared" si="20"/>
        <v>0</v>
      </c>
      <c r="BO18" s="13"/>
      <c r="BP18" s="15">
        <f t="shared" si="21"/>
        <v>5</v>
      </c>
      <c r="BQ18" s="15">
        <f t="shared" si="22"/>
        <v>0</v>
      </c>
    </row>
    <row r="19">
      <c r="A19" s="10"/>
      <c r="B19" s="11" t="s">
        <v>61</v>
      </c>
      <c r="C19" s="11" t="s">
        <v>62</v>
      </c>
      <c r="D19" s="11" t="s">
        <v>63</v>
      </c>
      <c r="E19" s="11" t="s">
        <v>38</v>
      </c>
      <c r="F19" s="11" t="s">
        <v>36</v>
      </c>
      <c r="G19" s="11">
        <v>4.0</v>
      </c>
      <c r="H19" s="12">
        <v>1.0</v>
      </c>
      <c r="I19" s="12">
        <f t="shared" si="1"/>
        <v>3</v>
      </c>
      <c r="J19" s="13"/>
      <c r="K19" s="12">
        <v>1.0</v>
      </c>
      <c r="L19" s="12">
        <f t="shared" si="2"/>
        <v>2</v>
      </c>
      <c r="M19" s="13"/>
      <c r="N19" s="12">
        <v>1.0</v>
      </c>
      <c r="O19" s="12">
        <f t="shared" si="3"/>
        <v>1</v>
      </c>
      <c r="P19" s="13"/>
      <c r="Q19" s="14">
        <v>1.0</v>
      </c>
      <c r="R19" s="12">
        <f t="shared" si="4"/>
        <v>0</v>
      </c>
      <c r="S19" s="13"/>
      <c r="T19" s="12">
        <v>0.0</v>
      </c>
      <c r="U19" s="12">
        <f t="shared" si="5"/>
        <v>0</v>
      </c>
      <c r="V19" s="13"/>
      <c r="W19" s="12">
        <v>0.0</v>
      </c>
      <c r="X19" s="12">
        <f t="shared" si="6"/>
        <v>0</v>
      </c>
      <c r="Y19" s="13"/>
      <c r="Z19" s="12"/>
      <c r="AA19" s="12">
        <f t="shared" si="7"/>
        <v>0</v>
      </c>
      <c r="AB19" s="13"/>
      <c r="AC19" s="12"/>
      <c r="AD19" s="12">
        <f t="shared" si="8"/>
        <v>0</v>
      </c>
      <c r="AE19" s="13"/>
      <c r="AF19" s="12"/>
      <c r="AG19" s="12">
        <f t="shared" si="9"/>
        <v>0</v>
      </c>
      <c r="AH19" s="13"/>
      <c r="AI19" s="12"/>
      <c r="AJ19" s="12">
        <f t="shared" si="10"/>
        <v>0</v>
      </c>
      <c r="AK19" s="13"/>
      <c r="AL19" s="12"/>
      <c r="AM19" s="12">
        <f t="shared" si="11"/>
        <v>0</v>
      </c>
      <c r="AN19" s="13"/>
      <c r="AO19" s="12"/>
      <c r="AP19" s="12">
        <f t="shared" si="12"/>
        <v>0</v>
      </c>
      <c r="AQ19" s="13"/>
      <c r="AR19" s="12"/>
      <c r="AS19" s="12">
        <f t="shared" si="13"/>
        <v>0</v>
      </c>
      <c r="AT19" s="13"/>
      <c r="AU19" s="12"/>
      <c r="AV19" s="12">
        <f t="shared" si="14"/>
        <v>0</v>
      </c>
      <c r="AW19" s="13"/>
      <c r="AX19" s="12"/>
      <c r="AY19" s="12">
        <f t="shared" si="15"/>
        <v>0</v>
      </c>
      <c r="AZ19" s="13"/>
      <c r="BA19" s="12"/>
      <c r="BB19" s="12">
        <f t="shared" si="16"/>
        <v>0</v>
      </c>
      <c r="BC19" s="13"/>
      <c r="BD19" s="12"/>
      <c r="BE19" s="12">
        <f t="shared" si="17"/>
        <v>0</v>
      </c>
      <c r="BF19" s="13"/>
      <c r="BG19" s="12"/>
      <c r="BH19" s="12">
        <f t="shared" si="18"/>
        <v>0</v>
      </c>
      <c r="BI19" s="13"/>
      <c r="BJ19" s="12"/>
      <c r="BK19" s="12">
        <f t="shared" si="19"/>
        <v>0</v>
      </c>
      <c r="BL19" s="13"/>
      <c r="BM19" s="12"/>
      <c r="BN19" s="12">
        <f t="shared" si="20"/>
        <v>0</v>
      </c>
      <c r="BO19" s="13"/>
      <c r="BP19" s="15">
        <f t="shared" si="21"/>
        <v>4</v>
      </c>
      <c r="BQ19" s="15">
        <f t="shared" si="22"/>
        <v>0</v>
      </c>
    </row>
    <row r="20">
      <c r="A20" s="10"/>
      <c r="B20" s="11" t="s">
        <v>64</v>
      </c>
      <c r="C20" s="11" t="s">
        <v>65</v>
      </c>
      <c r="D20" s="11" t="s">
        <v>66</v>
      </c>
      <c r="E20" s="11" t="s">
        <v>38</v>
      </c>
      <c r="F20" s="11" t="s">
        <v>36</v>
      </c>
      <c r="G20" s="11">
        <v>3.0</v>
      </c>
      <c r="H20" s="12"/>
      <c r="I20" s="12">
        <f t="shared" si="1"/>
        <v>3</v>
      </c>
      <c r="J20" s="13"/>
      <c r="K20" s="12"/>
      <c r="L20" s="12">
        <f t="shared" si="2"/>
        <v>3</v>
      </c>
      <c r="M20" s="13"/>
      <c r="N20" s="12"/>
      <c r="O20" s="12">
        <f t="shared" si="3"/>
        <v>3</v>
      </c>
      <c r="P20" s="13"/>
      <c r="Q20" s="12"/>
      <c r="R20" s="12">
        <f t="shared" si="4"/>
        <v>3</v>
      </c>
      <c r="S20" s="13"/>
      <c r="T20" s="12"/>
      <c r="U20" s="12">
        <f t="shared" si="5"/>
        <v>3</v>
      </c>
      <c r="V20" s="13"/>
      <c r="W20" s="12"/>
      <c r="X20" s="12">
        <f t="shared" si="6"/>
        <v>3</v>
      </c>
      <c r="Y20" s="13"/>
      <c r="Z20" s="12">
        <v>1.0</v>
      </c>
      <c r="AA20" s="12">
        <f t="shared" si="7"/>
        <v>2</v>
      </c>
      <c r="AB20" s="13"/>
      <c r="AC20" s="12">
        <v>1.0</v>
      </c>
      <c r="AD20" s="12">
        <f t="shared" si="8"/>
        <v>1</v>
      </c>
      <c r="AE20" s="13"/>
      <c r="AF20" s="12">
        <v>1.0</v>
      </c>
      <c r="AG20" s="12">
        <f t="shared" si="9"/>
        <v>0</v>
      </c>
      <c r="AH20" s="13"/>
      <c r="AI20" s="14">
        <v>0.0</v>
      </c>
      <c r="AJ20" s="12">
        <f t="shared" si="10"/>
        <v>0</v>
      </c>
      <c r="AK20" s="13"/>
      <c r="AL20" s="14">
        <v>0.0</v>
      </c>
      <c r="AM20" s="14">
        <v>0.0</v>
      </c>
      <c r="AN20" s="13"/>
      <c r="AO20" s="14">
        <v>0.0</v>
      </c>
      <c r="AP20" s="12">
        <f t="shared" si="12"/>
        <v>0</v>
      </c>
      <c r="AQ20" s="13"/>
      <c r="AR20" s="12"/>
      <c r="AS20" s="12">
        <f t="shared" si="13"/>
        <v>0</v>
      </c>
      <c r="AT20" s="13"/>
      <c r="AU20" s="12"/>
      <c r="AV20" s="12">
        <f t="shared" si="14"/>
        <v>0</v>
      </c>
      <c r="AW20" s="13"/>
      <c r="AX20" s="12"/>
      <c r="AY20" s="12">
        <f t="shared" si="15"/>
        <v>0</v>
      </c>
      <c r="AZ20" s="13"/>
      <c r="BA20" s="12"/>
      <c r="BB20" s="12">
        <f t="shared" si="16"/>
        <v>0</v>
      </c>
      <c r="BC20" s="13"/>
      <c r="BD20" s="12"/>
      <c r="BE20" s="12">
        <f t="shared" si="17"/>
        <v>0</v>
      </c>
      <c r="BF20" s="13"/>
      <c r="BG20" s="12"/>
      <c r="BH20" s="12">
        <f t="shared" si="18"/>
        <v>0</v>
      </c>
      <c r="BI20" s="13"/>
      <c r="BJ20" s="12"/>
      <c r="BK20" s="12">
        <f t="shared" si="19"/>
        <v>0</v>
      </c>
      <c r="BL20" s="13"/>
      <c r="BM20" s="12"/>
      <c r="BN20" s="12">
        <f t="shared" si="20"/>
        <v>0</v>
      </c>
      <c r="BO20" s="13"/>
      <c r="BP20" s="15">
        <f t="shared" si="21"/>
        <v>3</v>
      </c>
      <c r="BQ20" s="15">
        <f t="shared" si="22"/>
        <v>0</v>
      </c>
    </row>
    <row r="21" ht="15.75" customHeight="1">
      <c r="A21" s="10"/>
      <c r="B21" s="16"/>
      <c r="C21" s="16"/>
      <c r="D21" s="11" t="s">
        <v>67</v>
      </c>
      <c r="E21" s="11" t="s">
        <v>43</v>
      </c>
      <c r="F21" s="11" t="s">
        <v>36</v>
      </c>
      <c r="G21" s="11">
        <v>5.0</v>
      </c>
      <c r="H21" s="12"/>
      <c r="I21" s="12">
        <f t="shared" si="1"/>
        <v>5</v>
      </c>
      <c r="J21" s="13"/>
      <c r="K21" s="12"/>
      <c r="L21" s="12">
        <f t="shared" si="2"/>
        <v>5</v>
      </c>
      <c r="M21" s="13"/>
      <c r="N21" s="12"/>
      <c r="O21" s="12">
        <f t="shared" si="3"/>
        <v>5</v>
      </c>
      <c r="P21" s="13"/>
      <c r="Q21" s="12"/>
      <c r="R21" s="12">
        <f t="shared" si="4"/>
        <v>5</v>
      </c>
      <c r="S21" s="13"/>
      <c r="T21" s="12"/>
      <c r="U21" s="12">
        <f t="shared" si="5"/>
        <v>5</v>
      </c>
      <c r="V21" s="13"/>
      <c r="W21" s="12"/>
      <c r="X21" s="12">
        <f t="shared" si="6"/>
        <v>5</v>
      </c>
      <c r="Y21" s="13"/>
      <c r="Z21" s="12">
        <v>1.0</v>
      </c>
      <c r="AA21" s="12">
        <f t="shared" si="7"/>
        <v>4</v>
      </c>
      <c r="AB21" s="13"/>
      <c r="AC21" s="12">
        <v>1.0</v>
      </c>
      <c r="AD21" s="12">
        <f t="shared" si="8"/>
        <v>3</v>
      </c>
      <c r="AE21" s="13"/>
      <c r="AF21" s="12">
        <v>1.0</v>
      </c>
      <c r="AG21" s="12">
        <f t="shared" si="9"/>
        <v>2</v>
      </c>
      <c r="AH21" s="13"/>
      <c r="AI21" s="12">
        <v>1.0</v>
      </c>
      <c r="AJ21" s="12">
        <f t="shared" si="10"/>
        <v>1</v>
      </c>
      <c r="AK21" s="13"/>
      <c r="AL21" s="14">
        <v>1.0</v>
      </c>
      <c r="AM21" s="12">
        <f>AJ21-AL21</f>
        <v>0</v>
      </c>
      <c r="AN21" s="13"/>
      <c r="AO21" s="12"/>
      <c r="AP21" s="12">
        <f t="shared" si="12"/>
        <v>0</v>
      </c>
      <c r="AQ21" s="13"/>
      <c r="AR21" s="12"/>
      <c r="AS21" s="12">
        <f t="shared" si="13"/>
        <v>0</v>
      </c>
      <c r="AT21" s="13"/>
      <c r="AU21" s="12"/>
      <c r="AV21" s="12">
        <f t="shared" si="14"/>
        <v>0</v>
      </c>
      <c r="AW21" s="13"/>
      <c r="AX21" s="12"/>
      <c r="AY21" s="12">
        <f t="shared" si="15"/>
        <v>0</v>
      </c>
      <c r="AZ21" s="13"/>
      <c r="BA21" s="12"/>
      <c r="BB21" s="12">
        <f t="shared" si="16"/>
        <v>0</v>
      </c>
      <c r="BC21" s="13"/>
      <c r="BD21" s="12"/>
      <c r="BE21" s="12">
        <f t="shared" si="17"/>
        <v>0</v>
      </c>
      <c r="BF21" s="13"/>
      <c r="BG21" s="12"/>
      <c r="BH21" s="12">
        <f t="shared" si="18"/>
        <v>0</v>
      </c>
      <c r="BI21" s="13"/>
      <c r="BJ21" s="12"/>
      <c r="BK21" s="12">
        <f t="shared" si="19"/>
        <v>0</v>
      </c>
      <c r="BL21" s="13"/>
      <c r="BM21" s="12"/>
      <c r="BN21" s="12">
        <f t="shared" si="20"/>
        <v>0</v>
      </c>
      <c r="BO21" s="13"/>
      <c r="BP21" s="15">
        <f t="shared" si="21"/>
        <v>5</v>
      </c>
      <c r="BQ21" s="15">
        <f t="shared" si="22"/>
        <v>0</v>
      </c>
    </row>
    <row r="22" ht="15.75" customHeight="1">
      <c r="A22" s="10"/>
      <c r="B22" s="17"/>
      <c r="C22" s="17"/>
      <c r="D22" s="17"/>
      <c r="E22" s="17"/>
      <c r="F22" s="17"/>
      <c r="G22" s="17"/>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0"/>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0"/>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0"/>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0"/>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0"/>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0"/>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68</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69</v>
      </c>
      <c r="C4" s="18" t="s">
        <v>70</v>
      </c>
      <c r="D4" s="1"/>
      <c r="E4" s="1"/>
      <c r="F4" s="1"/>
      <c r="G4" s="1"/>
      <c r="H4" s="1"/>
      <c r="I4" s="1"/>
      <c r="J4" s="1"/>
      <c r="K4" s="1"/>
      <c r="L4" s="1"/>
      <c r="M4" s="1"/>
      <c r="N4" s="1"/>
      <c r="O4" s="1"/>
      <c r="P4" s="1"/>
      <c r="Q4" s="1"/>
      <c r="R4" s="1"/>
      <c r="S4" s="1"/>
      <c r="T4" s="1"/>
      <c r="U4" s="1"/>
      <c r="V4" s="1"/>
      <c r="W4" s="1"/>
      <c r="X4" s="1"/>
      <c r="Y4" s="1"/>
      <c r="Z4" s="1"/>
    </row>
    <row r="5">
      <c r="A5" s="1"/>
      <c r="B5" s="19" t="str">
        <f>'Historias de Usuario'!B5</f>
        <v>Identificador (ID) de item de product backlog</v>
      </c>
      <c r="C5" s="19" t="s">
        <v>71</v>
      </c>
      <c r="D5" s="1"/>
      <c r="E5" s="1"/>
      <c r="F5" s="1"/>
      <c r="G5" s="1"/>
      <c r="H5" s="1"/>
      <c r="I5" s="1"/>
      <c r="J5" s="1"/>
      <c r="K5" s="1"/>
      <c r="L5" s="1"/>
      <c r="M5" s="1"/>
      <c r="N5" s="1"/>
      <c r="O5" s="1"/>
      <c r="P5" s="1"/>
      <c r="Q5" s="1"/>
      <c r="R5" s="1"/>
      <c r="S5" s="1"/>
      <c r="T5" s="1"/>
      <c r="U5" s="1"/>
      <c r="V5" s="1"/>
      <c r="W5" s="1"/>
      <c r="X5" s="1"/>
      <c r="Y5" s="1"/>
      <c r="Z5" s="1"/>
    </row>
    <row r="6">
      <c r="A6" s="1"/>
      <c r="B6" s="19" t="str">
        <f>'Historias de Usuario'!C5</f>
        <v>Enunciado del item de Product Backlog</v>
      </c>
      <c r="C6" s="19" t="s">
        <v>72</v>
      </c>
      <c r="D6" s="1"/>
      <c r="E6" s="1"/>
      <c r="F6" s="1"/>
      <c r="G6" s="1"/>
      <c r="H6" s="1"/>
      <c r="I6" s="1"/>
      <c r="J6" s="1"/>
      <c r="K6" s="1"/>
      <c r="L6" s="1"/>
      <c r="M6" s="1"/>
      <c r="N6" s="1"/>
      <c r="O6" s="1"/>
      <c r="P6" s="1"/>
      <c r="Q6" s="1"/>
      <c r="R6" s="1"/>
      <c r="S6" s="1"/>
      <c r="T6" s="1"/>
      <c r="U6" s="1"/>
      <c r="V6" s="1"/>
      <c r="W6" s="1"/>
      <c r="X6" s="1"/>
      <c r="Y6" s="1"/>
      <c r="Z6" s="1"/>
    </row>
    <row r="7">
      <c r="A7" s="1"/>
      <c r="B7" s="19" t="s">
        <v>26</v>
      </c>
      <c r="C7" s="19" t="s">
        <v>73</v>
      </c>
      <c r="D7" s="1"/>
      <c r="E7" s="1"/>
      <c r="F7" s="1"/>
      <c r="G7" s="1"/>
      <c r="H7" s="1"/>
      <c r="I7" s="1"/>
      <c r="J7" s="1"/>
      <c r="K7" s="1"/>
      <c r="L7" s="1"/>
      <c r="M7" s="1"/>
      <c r="N7" s="1"/>
      <c r="O7" s="1"/>
      <c r="P7" s="1"/>
      <c r="Q7" s="1"/>
      <c r="R7" s="1"/>
      <c r="S7" s="1"/>
      <c r="T7" s="1"/>
      <c r="U7" s="1"/>
      <c r="V7" s="1"/>
      <c r="W7" s="1"/>
      <c r="X7" s="1"/>
      <c r="Y7" s="1"/>
      <c r="Z7" s="1"/>
    </row>
    <row r="8">
      <c r="A8" s="1"/>
      <c r="B8" s="19" t="s">
        <v>27</v>
      </c>
      <c r="C8" s="19" t="s">
        <v>74</v>
      </c>
      <c r="D8" s="1"/>
      <c r="E8" s="1"/>
      <c r="F8" s="1"/>
      <c r="G8" s="1"/>
      <c r="H8" s="1"/>
      <c r="I8" s="1"/>
      <c r="J8" s="1"/>
      <c r="K8" s="1"/>
      <c r="L8" s="1"/>
      <c r="M8" s="1"/>
      <c r="N8" s="1"/>
      <c r="O8" s="1"/>
      <c r="P8" s="1"/>
      <c r="Q8" s="1"/>
      <c r="R8" s="1"/>
      <c r="S8" s="1"/>
      <c r="T8" s="1"/>
      <c r="U8" s="1"/>
      <c r="V8" s="1"/>
      <c r="W8" s="1"/>
      <c r="X8" s="1"/>
      <c r="Y8" s="1"/>
      <c r="Z8" s="1"/>
    </row>
    <row r="9">
      <c r="A9" s="1"/>
      <c r="B9" s="19" t="s">
        <v>28</v>
      </c>
      <c r="C9" s="19" t="s">
        <v>75</v>
      </c>
      <c r="D9" s="1"/>
      <c r="E9" s="1"/>
      <c r="F9" s="1"/>
      <c r="G9" s="1"/>
      <c r="H9" s="1"/>
      <c r="I9" s="1"/>
      <c r="J9" s="1"/>
      <c r="K9" s="1"/>
      <c r="L9" s="1"/>
      <c r="M9" s="1"/>
      <c r="N9" s="1"/>
      <c r="O9" s="1"/>
      <c r="P9" s="1"/>
      <c r="Q9" s="1"/>
      <c r="R9" s="1"/>
      <c r="S9" s="1"/>
      <c r="T9" s="1"/>
      <c r="U9" s="1"/>
      <c r="V9" s="1"/>
      <c r="W9" s="1"/>
      <c r="X9" s="1"/>
      <c r="Y9" s="1"/>
      <c r="Z9" s="1"/>
    </row>
    <row r="10">
      <c r="A10" s="1"/>
      <c r="B10" s="19" t="s">
        <v>29</v>
      </c>
      <c r="C10" s="19" t="s">
        <v>76</v>
      </c>
      <c r="D10" s="1"/>
      <c r="E10" s="1"/>
      <c r="F10" s="1"/>
      <c r="G10" s="1"/>
      <c r="H10" s="1"/>
      <c r="I10" s="1"/>
      <c r="J10" s="1"/>
      <c r="K10" s="1"/>
      <c r="L10" s="1"/>
      <c r="M10" s="1"/>
      <c r="N10" s="1"/>
      <c r="O10" s="1"/>
      <c r="P10" s="1"/>
      <c r="Q10" s="1"/>
      <c r="R10" s="1"/>
      <c r="S10" s="1"/>
      <c r="T10" s="1"/>
      <c r="U10" s="1"/>
      <c r="V10" s="1"/>
      <c r="W10" s="1"/>
      <c r="X10" s="1"/>
      <c r="Y10" s="1"/>
      <c r="Z10" s="1"/>
    </row>
    <row r="11">
      <c r="A11" s="1"/>
      <c r="B11" s="19" t="s">
        <v>77</v>
      </c>
      <c r="C11" s="19" t="s">
        <v>78</v>
      </c>
      <c r="D11" s="1"/>
      <c r="E11" s="1"/>
      <c r="F11" s="1"/>
      <c r="G11" s="1"/>
      <c r="H11" s="1"/>
      <c r="I11" s="1"/>
      <c r="J11" s="1"/>
      <c r="K11" s="1"/>
      <c r="L11" s="1"/>
      <c r="M11" s="1"/>
      <c r="N11" s="1"/>
      <c r="O11" s="1"/>
      <c r="P11" s="1"/>
      <c r="Q11" s="1"/>
      <c r="R11" s="1"/>
      <c r="S11" s="1"/>
      <c r="T11" s="1"/>
      <c r="U11" s="1"/>
      <c r="V11" s="1"/>
      <c r="W11" s="1"/>
      <c r="X11" s="1"/>
      <c r="Y11" s="1"/>
      <c r="Z11" s="1"/>
    </row>
    <row r="12">
      <c r="A12" s="1"/>
      <c r="B12" s="19" t="s">
        <v>30</v>
      </c>
      <c r="C12" s="19" t="s">
        <v>79</v>
      </c>
      <c r="D12" s="1"/>
      <c r="E12" s="1"/>
      <c r="F12" s="1"/>
      <c r="G12" s="1"/>
      <c r="H12" s="1"/>
      <c r="I12" s="1"/>
      <c r="J12" s="1"/>
      <c r="K12" s="1"/>
      <c r="L12" s="1"/>
      <c r="M12" s="1"/>
      <c r="N12" s="1"/>
      <c r="O12" s="1"/>
      <c r="P12" s="1"/>
      <c r="Q12" s="1"/>
      <c r="R12" s="1"/>
      <c r="S12" s="1"/>
      <c r="T12" s="1"/>
      <c r="U12" s="1"/>
      <c r="V12" s="1"/>
      <c r="W12" s="1"/>
      <c r="X12" s="1"/>
      <c r="Y12" s="1"/>
      <c r="Z12" s="1"/>
    </row>
    <row r="13">
      <c r="A13" s="1"/>
      <c r="B13" s="19" t="s">
        <v>31</v>
      </c>
      <c r="C13" s="19" t="s">
        <v>80</v>
      </c>
      <c r="D13" s="1"/>
      <c r="E13" s="1"/>
      <c r="F13" s="1"/>
      <c r="G13" s="1"/>
      <c r="H13" s="1"/>
      <c r="I13" s="1"/>
      <c r="J13" s="1"/>
      <c r="K13" s="1"/>
      <c r="L13" s="1"/>
      <c r="M13" s="1"/>
      <c r="N13" s="1"/>
      <c r="O13" s="1"/>
      <c r="P13" s="1"/>
      <c r="Q13" s="1"/>
      <c r="R13" s="1"/>
      <c r="S13" s="1"/>
      <c r="T13" s="1"/>
      <c r="U13" s="1"/>
      <c r="V13" s="1"/>
      <c r="W13" s="1"/>
      <c r="X13" s="1"/>
      <c r="Y13" s="1"/>
      <c r="Z13" s="1"/>
    </row>
    <row r="14">
      <c r="A14" s="1"/>
      <c r="B14" s="19" t="s">
        <v>23</v>
      </c>
      <c r="C14" s="19"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